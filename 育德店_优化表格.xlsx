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酱汁" sheetId="1" r:id="rId1"/>
    <sheet name="冻货" sheetId="2" r:id="rId2"/>
    <sheet name="干货" sheetId="3" r:id="rId3"/>
    <sheet name="蔬菜" sheetId="4" r:id="rId4"/>
    <sheet name="包材" sheetId="5" r:id="rId5"/>
    <sheet name="广耀进货" sheetId="6" r:id="rId6"/>
    <sheet name="网购物品" sheetId="7" r:id="rId7"/>
    <sheet name="美团快驴伙食" sheetId="8" r:id="rId8"/>
    <sheet name="饮料" sheetId="9" r:id="rId9"/>
    <sheet name="丰华粮油" sheetId="10" r:id="rId10"/>
    <sheet name="行政费用" sheetId="11" r:id="rId11"/>
    <sheet name="设备维修费用" sheetId="12" r:id="rId12"/>
    <sheet name="薪资表" sheetId="13" r:id="rId13"/>
    <sheet name="盘点表" sheetId="14" r:id="rId14"/>
    <sheet name="汇总" sheetId="15" r:id="rId15"/>
    <sheet name="汇总_优化" sheetId="16" r:id="rId16"/>
    <sheet name="图表数据" sheetId="17" r:id="rId17"/>
    <sheet name="仪表盘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58" formatCode="m/d/yy"/>
    <numFmt numFmtId="176" formatCode="0.00_ "/>
    <numFmt numFmtId="177" formatCode="0_);[Red]\(0\)"/>
    <numFmt numFmtId="178" formatCode="0.00_);[Red]\(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workbookViewId="0" rightToLeft="0"/>
  </sheetViews>
  <sheetData>
    <row r="1">
      <c r="A1" t="str">
        <v>日期</v>
      </c>
      <c r="B1" t="str">
        <v>奶香（kg）</v>
      </c>
      <c r="C1" t="str">
        <v>茄汁(kg)</v>
      </c>
      <c r="D1" t="str">
        <v>咖喱汁(kg)</v>
      </c>
      <c r="E1" t="str">
        <v>黑椒汁(kg)</v>
      </c>
      <c r="F1" t="str">
        <v>肉酱(kg)</v>
      </c>
      <c r="G1" t="str">
        <v>意粉(包）</v>
      </c>
    </row>
    <row r="2">
      <c r="A2">
        <v>1</v>
      </c>
      <c r="B2">
        <v>15.2</v>
      </c>
      <c r="C2">
        <v>9.1</v>
      </c>
      <c r="D2">
        <v>7.2</v>
      </c>
      <c r="E2">
        <v>5.5</v>
      </c>
    </row>
    <row r="3">
      <c r="A3">
        <v>2</v>
      </c>
      <c r="B3">
        <v>14.6</v>
      </c>
      <c r="C3">
        <v>9.3</v>
      </c>
      <c r="D3">
        <v>7</v>
      </c>
      <c r="E3">
        <v>5.7</v>
      </c>
      <c r="F3">
        <v>9.5</v>
      </c>
    </row>
    <row r="4">
      <c r="A4">
        <v>3</v>
      </c>
      <c r="B4">
        <v>14.8</v>
      </c>
      <c r="C4">
        <v>9.2</v>
      </c>
      <c r="D4">
        <v>7</v>
      </c>
      <c r="E4">
        <v>5.8</v>
      </c>
    </row>
    <row r="5">
      <c r="A5">
        <v>4</v>
      </c>
      <c r="B5">
        <v>14.7</v>
      </c>
      <c r="C5">
        <v>9.2</v>
      </c>
      <c r="D5">
        <v>6.8</v>
      </c>
      <c r="E5">
        <v>5.9</v>
      </c>
    </row>
    <row r="6">
      <c r="A6">
        <v>5</v>
      </c>
      <c r="B6">
        <v>14.4</v>
      </c>
      <c r="C6">
        <v>9.4</v>
      </c>
      <c r="D6">
        <v>7</v>
      </c>
      <c r="E6">
        <v>5.8</v>
      </c>
    </row>
    <row r="7">
      <c r="A7">
        <v>6</v>
      </c>
      <c r="B7">
        <v>14.4</v>
      </c>
      <c r="C7">
        <v>9.4</v>
      </c>
      <c r="D7">
        <v>7</v>
      </c>
      <c r="E7">
        <v>5.8</v>
      </c>
      <c r="F7">
        <v>9.5</v>
      </c>
    </row>
    <row r="8">
      <c r="A8">
        <v>7</v>
      </c>
      <c r="B8">
        <v>14.6</v>
      </c>
      <c r="C8">
        <v>9.5</v>
      </c>
      <c r="D8">
        <v>6.9</v>
      </c>
      <c r="E8">
        <v>5.9</v>
      </c>
    </row>
    <row r="9">
      <c r="A9">
        <v>8</v>
      </c>
      <c r="B9">
        <v>13.4</v>
      </c>
      <c r="C9">
        <v>9.7</v>
      </c>
      <c r="D9">
        <v>5.6</v>
      </c>
      <c r="E9">
        <v>5</v>
      </c>
    </row>
    <row r="10">
      <c r="A10">
        <v>9</v>
      </c>
      <c r="B10">
        <v>13</v>
      </c>
      <c r="C10">
        <v>9.6</v>
      </c>
      <c r="D10">
        <v>5.7</v>
      </c>
      <c r="E10">
        <v>5.1</v>
      </c>
    </row>
    <row r="11">
      <c r="A11">
        <v>10</v>
      </c>
      <c r="B11">
        <v>13.3</v>
      </c>
      <c r="C11">
        <v>9.3</v>
      </c>
      <c r="D11">
        <v>5.6</v>
      </c>
      <c r="E11">
        <v>5</v>
      </c>
    </row>
    <row r="12">
      <c r="A12">
        <v>11</v>
      </c>
      <c r="B12">
        <v>13.4</v>
      </c>
      <c r="C12">
        <v>9.6</v>
      </c>
      <c r="D12">
        <v>5.6</v>
      </c>
      <c r="E12">
        <v>4.8</v>
      </c>
      <c r="F12">
        <v>12</v>
      </c>
    </row>
    <row r="13">
      <c r="A13">
        <v>12</v>
      </c>
      <c r="B13">
        <v>13.4</v>
      </c>
      <c r="C13">
        <v>9.4</v>
      </c>
      <c r="D13">
        <v>5.7</v>
      </c>
      <c r="E13">
        <v>4.8</v>
      </c>
    </row>
    <row r="14">
      <c r="A14">
        <v>13</v>
      </c>
      <c r="B14">
        <v>14.6</v>
      </c>
      <c r="C14">
        <v>9.6</v>
      </c>
      <c r="D14">
        <v>7</v>
      </c>
      <c r="E14">
        <v>5.9</v>
      </c>
    </row>
    <row r="15">
      <c r="A15">
        <v>14</v>
      </c>
      <c r="B15">
        <v>12.5</v>
      </c>
      <c r="C15">
        <v>10.8</v>
      </c>
      <c r="D15">
        <v>6</v>
      </c>
      <c r="E15">
        <v>4.6</v>
      </c>
    </row>
    <row r="16">
      <c r="A16">
        <v>15</v>
      </c>
      <c r="B16">
        <v>13.4</v>
      </c>
      <c r="C16">
        <v>9.7</v>
      </c>
      <c r="D16">
        <v>6.1</v>
      </c>
      <c r="E16">
        <v>4.9</v>
      </c>
    </row>
    <row r="17">
      <c r="A17">
        <v>16</v>
      </c>
      <c r="B17">
        <v>13.4</v>
      </c>
      <c r="C17">
        <v>9.6</v>
      </c>
      <c r="D17">
        <v>5.6</v>
      </c>
      <c r="E17">
        <v>5.1</v>
      </c>
    </row>
    <row r="18">
      <c r="A18">
        <v>17</v>
      </c>
      <c r="B18">
        <v>13.5</v>
      </c>
      <c r="C18">
        <v>9.8</v>
      </c>
      <c r="D18">
        <v>6</v>
      </c>
      <c r="E18">
        <v>5</v>
      </c>
    </row>
    <row r="19">
      <c r="A19">
        <v>18</v>
      </c>
      <c r="B19">
        <v>13.5</v>
      </c>
      <c r="C19">
        <v>9.6</v>
      </c>
      <c r="D19">
        <v>6.1</v>
      </c>
      <c r="E19">
        <v>5</v>
      </c>
      <c r="F19">
        <v>9.5</v>
      </c>
    </row>
    <row r="20">
      <c r="A20">
        <v>19</v>
      </c>
      <c r="B20">
        <v>14.7</v>
      </c>
      <c r="C20">
        <v>9.4</v>
      </c>
      <c r="D20">
        <v>6.8</v>
      </c>
      <c r="E20">
        <v>5.9</v>
      </c>
    </row>
    <row r="21">
      <c r="A21">
        <v>20</v>
      </c>
      <c r="B21">
        <v>14.6</v>
      </c>
      <c r="C21">
        <v>9.5</v>
      </c>
      <c r="D21">
        <v>7</v>
      </c>
      <c r="E21">
        <v>6.1</v>
      </c>
    </row>
    <row r="22">
      <c r="A22">
        <v>21</v>
      </c>
      <c r="B22">
        <v>13.6</v>
      </c>
      <c r="C22">
        <v>9.4</v>
      </c>
      <c r="D22">
        <v>5.9</v>
      </c>
      <c r="E22">
        <v>4.9</v>
      </c>
    </row>
    <row r="23">
      <c r="A23">
        <v>22</v>
      </c>
      <c r="B23">
        <v>13.5</v>
      </c>
      <c r="C23">
        <v>9.8</v>
      </c>
      <c r="D23">
        <v>6</v>
      </c>
      <c r="E23">
        <v>5.4</v>
      </c>
      <c r="F23">
        <v>12</v>
      </c>
    </row>
    <row r="24">
      <c r="A24">
        <v>23</v>
      </c>
      <c r="B24">
        <v>13.4</v>
      </c>
      <c r="C24">
        <v>9.5</v>
      </c>
      <c r="D24">
        <v>6</v>
      </c>
      <c r="E24">
        <v>5</v>
      </c>
    </row>
    <row r="25">
      <c r="A25">
        <v>24</v>
      </c>
      <c r="B25">
        <v>13.6</v>
      </c>
      <c r="C25">
        <v>9.4</v>
      </c>
      <c r="D25">
        <v>5.6</v>
      </c>
      <c r="E25">
        <v>5</v>
      </c>
    </row>
    <row r="26">
      <c r="A26">
        <v>25</v>
      </c>
      <c r="B26">
        <v>13.9</v>
      </c>
      <c r="C26">
        <v>9.7</v>
      </c>
      <c r="D26">
        <v>6</v>
      </c>
      <c r="E26">
        <v>5.1</v>
      </c>
    </row>
    <row r="27">
      <c r="A27">
        <v>26</v>
      </c>
      <c r="B27">
        <v>14.4</v>
      </c>
      <c r="C27">
        <v>9.4</v>
      </c>
      <c r="D27">
        <v>7.2</v>
      </c>
      <c r="E27">
        <v>6</v>
      </c>
    </row>
    <row r="28">
      <c r="A28">
        <v>27</v>
      </c>
      <c r="B28">
        <v>14.6</v>
      </c>
      <c r="C28">
        <v>9.4</v>
      </c>
      <c r="D28">
        <v>7.1</v>
      </c>
      <c r="E28">
        <v>6</v>
      </c>
      <c r="F28">
        <v>10.4</v>
      </c>
    </row>
    <row r="29">
      <c r="A29">
        <v>28</v>
      </c>
      <c r="B29">
        <v>13.4</v>
      </c>
      <c r="C29">
        <v>9.8</v>
      </c>
      <c r="D29">
        <v>5.6</v>
      </c>
      <c r="E29">
        <v>5</v>
      </c>
    </row>
    <row r="30">
      <c r="A30">
        <v>29</v>
      </c>
      <c r="B30">
        <v>13.5</v>
      </c>
      <c r="C30">
        <v>9.9</v>
      </c>
      <c r="D30">
        <v>6.1</v>
      </c>
      <c r="E30">
        <v>5.2</v>
      </c>
    </row>
    <row r="31">
      <c r="A31">
        <v>30</v>
      </c>
      <c r="B31">
        <v>13.3</v>
      </c>
      <c r="C31">
        <v>9.8</v>
      </c>
      <c r="D31">
        <v>6</v>
      </c>
      <c r="E31">
        <v>5</v>
      </c>
    </row>
    <row r="32">
      <c r="A32">
        <v>31</v>
      </c>
      <c r="B32">
        <v>13.3</v>
      </c>
      <c r="C32">
        <v>9.7</v>
      </c>
      <c r="D32">
        <v>6</v>
      </c>
      <c r="E32">
        <v>5</v>
      </c>
    </row>
    <row r="33">
      <c r="A33" t="str">
        <v>合共数量</v>
      </c>
      <c r="B33">
        <f>SUM(B2:B32)</f>
        <v>429.9</v>
      </c>
      <c r="C33">
        <f>SUM(C2:C32)</f>
        <v>296.5</v>
      </c>
      <c r="D33">
        <f>SUM(D2:D32)</f>
        <v>195.2</v>
      </c>
      <c r="E33">
        <f>SUM(E2:E32)</f>
        <v>165.2</v>
      </c>
      <c r="F33">
        <f>SUM(F2:F32)</f>
        <v>62.9</v>
      </c>
      <c r="G33">
        <f>SUM(G2:G32)</f>
        <v>0</v>
      </c>
    </row>
    <row r="34">
      <c r="A34" t="str">
        <v>价格</v>
      </c>
      <c r="B34">
        <v>5.8</v>
      </c>
      <c r="C34">
        <v>4.5</v>
      </c>
      <c r="D34">
        <v>7.5</v>
      </c>
      <c r="E34">
        <v>3.5</v>
      </c>
      <c r="F34">
        <v>15</v>
      </c>
      <c r="G34">
        <v>22</v>
      </c>
    </row>
    <row r="35">
      <c r="A35" t="str">
        <v>合共金额</v>
      </c>
      <c r="B35">
        <f>B33*B34</f>
        <v>2493.42</v>
      </c>
      <c r="C35">
        <f>C33*C34</f>
        <v>1334.25</v>
      </c>
      <c r="D35">
        <f>D33*D34</f>
        <v>1464</v>
      </c>
      <c r="E35">
        <f>E33*E34</f>
        <v>578.2</v>
      </c>
      <c r="F35">
        <f>F33*F34</f>
        <v>943.5</v>
      </c>
      <c r="G35">
        <f>G33*G34</f>
        <v>0</v>
      </c>
    </row>
    <row r="37">
      <c r="A37" t="str">
        <v>总金额</v>
      </c>
      <c r="B37">
        <f>B35+C35+D35+E35+F35+G35</f>
        <v>6813.37</v>
      </c>
    </row>
    <row r="40">
      <c r="A40" t="str">
        <v>酱汁</v>
      </c>
      <c r="B40">
        <f>B37</f>
        <v>6813.37</v>
      </c>
      <c r="C40" t="str">
        <v>育德10月</v>
      </c>
    </row>
    <row r="41">
      <c r="A41" t="str">
        <v>冻货</v>
      </c>
      <c r="B41">
        <f>冻货!B37</f>
        <v>16255.27</v>
      </c>
    </row>
    <row r="42">
      <c r="A42" t="str">
        <v>干货</v>
      </c>
      <c r="B42">
        <f>干货!B37</f>
        <v>786.7</v>
      </c>
      <c r="D42" t="str">
        <v>代购（仓库）</v>
      </c>
      <c r="E42">
        <f>汇总!B49</f>
        <v>4484.37</v>
      </c>
    </row>
    <row r="43">
      <c r="A43" t="str">
        <v>包材</v>
      </c>
      <c r="B43">
        <f>包材!B37</f>
        <v>4583.5</v>
      </c>
    </row>
    <row r="44">
      <c r="A44" t="str">
        <v>仓库分摊</v>
      </c>
      <c r="B44">
        <f>汇总!B49</f>
        <v>4484.37</v>
      </c>
    </row>
    <row r="45">
      <c r="A45" t="str">
        <v>金额</v>
      </c>
      <c r="B45">
        <f>SUM(B40:B44)</f>
        <v>32923.21</v>
      </c>
    </row>
    <row r="47">
      <c r="D47" t="str">
        <v>待转总：</v>
      </c>
      <c r="E47">
        <f>B45-E42</f>
        <v>28438.84</v>
      </c>
    </row>
  </sheetData>
  <mergeCells count="1">
    <mergeCell ref="C40:E40"/>
  </mergeCells>
  <pageMargins left="0.393055555555556" right="0.393055555555556" top="1" bottom="1" header="0.5" footer="0.5"/>
  <ignoredErrors>
    <ignoredError numberStoredAsText="1" sqref="A1:H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37"/>
  <sheetViews>
    <sheetView workbookViewId="0" rightToLeft="0"/>
  </sheetViews>
  <sheetData>
    <row r="1">
      <c r="A1" t="str">
        <v>日期</v>
      </c>
      <c r="B1" t="str">
        <v>鸡扒</v>
      </c>
      <c r="C1" t="str">
        <v>猪扒</v>
      </c>
      <c r="D1" t="str">
        <v>牛扒</v>
      </c>
      <c r="E1" t="str">
        <v>烤鸡翅</v>
      </c>
      <c r="F1" t="str">
        <v>猪骨</v>
      </c>
      <c r="G1" t="str">
        <v>鱿鱼</v>
      </c>
      <c r="H1" t="str">
        <v>蟹柳</v>
      </c>
      <c r="I1" t="str">
        <v>虾仁</v>
      </c>
      <c r="J1" t="str">
        <v>肠仔</v>
      </c>
      <c r="K1" t="str">
        <v>培根</v>
      </c>
      <c r="L1" t="str">
        <v>黄油</v>
      </c>
      <c r="M1" t="str">
        <v>芝士</v>
      </c>
      <c r="N1" t="str">
        <v>玉米粒</v>
      </c>
      <c r="O1" t="str">
        <v>杂豆粒</v>
      </c>
      <c r="P1" t="str">
        <v>鱼柳</v>
      </c>
      <c r="Q1" t="str">
        <v>盐酥鸡</v>
      </c>
      <c r="R1" t="str">
        <v>辣翅</v>
      </c>
      <c r="S1" t="str">
        <v>香芋地瓜丸</v>
      </c>
      <c r="T1" t="str">
        <v>圣农炸鸡扒</v>
      </c>
      <c r="U1" t="str">
        <v>南瓜饼</v>
      </c>
      <c r="V1" t="str">
        <v>炸鸡腿</v>
      </c>
    </row>
    <row r="2">
      <c r="A2">
        <v>1</v>
      </c>
      <c r="B2">
        <v>4</v>
      </c>
      <c r="C2">
        <v>2</v>
      </c>
      <c r="E2">
        <v>3</v>
      </c>
      <c r="S2">
        <v>3</v>
      </c>
    </row>
    <row r="3">
      <c r="A3">
        <v>2</v>
      </c>
      <c r="B3">
        <v>6</v>
      </c>
      <c r="C3">
        <v>1</v>
      </c>
      <c r="G3">
        <v>3</v>
      </c>
      <c r="U3">
        <v>3</v>
      </c>
      <c r="V3">
        <v>1</v>
      </c>
    </row>
    <row r="4">
      <c r="A4">
        <v>3</v>
      </c>
      <c r="B4">
        <v>4</v>
      </c>
    </row>
    <row r="5">
      <c r="A5">
        <v>4</v>
      </c>
      <c r="B5">
        <v>4</v>
      </c>
      <c r="C5">
        <v>2</v>
      </c>
      <c r="U5">
        <v>3</v>
      </c>
    </row>
    <row r="6">
      <c r="A6">
        <v>5</v>
      </c>
      <c r="B6">
        <v>6</v>
      </c>
      <c r="C6">
        <v>1</v>
      </c>
      <c r="D6">
        <v>1</v>
      </c>
      <c r="S6">
        <v>3</v>
      </c>
    </row>
    <row r="7">
      <c r="A7">
        <v>6</v>
      </c>
      <c r="B7">
        <v>6</v>
      </c>
      <c r="C7">
        <v>1</v>
      </c>
      <c r="D7">
        <v>1</v>
      </c>
      <c r="J7">
        <v>3</v>
      </c>
      <c r="V7">
        <v>1</v>
      </c>
    </row>
    <row r="8">
      <c r="A8">
        <v>7</v>
      </c>
      <c r="B8">
        <v>4</v>
      </c>
      <c r="C8">
        <v>1</v>
      </c>
      <c r="U8">
        <v>5</v>
      </c>
    </row>
    <row r="9">
      <c r="A9">
        <v>8</v>
      </c>
      <c r="B9">
        <v>4</v>
      </c>
      <c r="C9">
        <v>1</v>
      </c>
      <c r="D9">
        <v>1</v>
      </c>
      <c r="T9">
        <v>2</v>
      </c>
    </row>
    <row r="10">
      <c r="A10">
        <v>9</v>
      </c>
      <c r="B10">
        <v>4</v>
      </c>
      <c r="G10">
        <v>3</v>
      </c>
      <c r="J10">
        <v>4</v>
      </c>
    </row>
    <row r="11">
      <c r="A11">
        <v>10</v>
      </c>
      <c r="B11">
        <v>4</v>
      </c>
      <c r="C11">
        <v>1</v>
      </c>
      <c r="D11">
        <v>1</v>
      </c>
    </row>
    <row r="12">
      <c r="A12">
        <v>11</v>
      </c>
      <c r="B12">
        <v>6</v>
      </c>
      <c r="E12">
        <v>3</v>
      </c>
    </row>
    <row r="13">
      <c r="A13">
        <v>12</v>
      </c>
      <c r="B13">
        <v>4</v>
      </c>
      <c r="C13">
        <v>1</v>
      </c>
      <c r="D13">
        <v>1</v>
      </c>
    </row>
    <row r="14">
      <c r="A14">
        <v>13</v>
      </c>
      <c r="B14">
        <v>4</v>
      </c>
      <c r="C14">
        <v>1</v>
      </c>
    </row>
    <row r="15">
      <c r="A15">
        <v>14</v>
      </c>
      <c r="B15">
        <v>4</v>
      </c>
      <c r="C15">
        <v>1</v>
      </c>
      <c r="S15">
        <v>3</v>
      </c>
    </row>
    <row r="16">
      <c r="A16">
        <v>15</v>
      </c>
      <c r="B16">
        <v>4</v>
      </c>
      <c r="J16">
        <v>3</v>
      </c>
      <c r="R16">
        <v>2</v>
      </c>
      <c r="U16">
        <v>3</v>
      </c>
    </row>
    <row r="17">
      <c r="A17">
        <v>16</v>
      </c>
      <c r="B17">
        <v>4</v>
      </c>
      <c r="C17">
        <v>2</v>
      </c>
      <c r="D17">
        <v>2</v>
      </c>
      <c r="V17">
        <v>1</v>
      </c>
    </row>
    <row r="18">
      <c r="A18">
        <v>17</v>
      </c>
      <c r="B18">
        <v>4</v>
      </c>
      <c r="T18">
        <v>3</v>
      </c>
    </row>
    <row r="19">
      <c r="A19">
        <v>18</v>
      </c>
      <c r="B19">
        <v>3</v>
      </c>
      <c r="D19">
        <v>2</v>
      </c>
      <c r="S19">
        <v>3</v>
      </c>
    </row>
    <row r="20">
      <c r="A20">
        <v>19</v>
      </c>
      <c r="B20">
        <v>5</v>
      </c>
      <c r="C20">
        <v>1</v>
      </c>
      <c r="G20">
        <v>3</v>
      </c>
      <c r="U20">
        <v>4</v>
      </c>
    </row>
    <row r="21">
      <c r="A21">
        <v>20</v>
      </c>
      <c r="B21">
        <v>2</v>
      </c>
      <c r="C21">
        <v>1</v>
      </c>
      <c r="D21">
        <v>1</v>
      </c>
      <c r="E21">
        <v>3</v>
      </c>
      <c r="V21">
        <v>1</v>
      </c>
    </row>
    <row r="22">
      <c r="A22">
        <v>21</v>
      </c>
      <c r="B22">
        <v>4</v>
      </c>
    </row>
    <row r="23">
      <c r="A23">
        <v>22</v>
      </c>
      <c r="B23">
        <v>4</v>
      </c>
      <c r="C23">
        <v>1</v>
      </c>
      <c r="D23">
        <v>1</v>
      </c>
      <c r="G23">
        <v>3</v>
      </c>
    </row>
    <row r="24">
      <c r="A24">
        <v>23</v>
      </c>
      <c r="B24">
        <v>4</v>
      </c>
      <c r="J24">
        <v>3</v>
      </c>
    </row>
    <row r="25">
      <c r="A25">
        <v>24</v>
      </c>
      <c r="B25">
        <v>3</v>
      </c>
      <c r="C25">
        <v>2</v>
      </c>
      <c r="D25">
        <v>1</v>
      </c>
    </row>
    <row r="26">
      <c r="A26">
        <v>25</v>
      </c>
      <c r="B26">
        <v>4</v>
      </c>
      <c r="C26">
        <v>1</v>
      </c>
      <c r="D26">
        <v>1</v>
      </c>
      <c r="U26">
        <v>3</v>
      </c>
    </row>
    <row r="27">
      <c r="A27">
        <v>26</v>
      </c>
      <c r="B27">
        <v>4</v>
      </c>
      <c r="C27">
        <v>1</v>
      </c>
      <c r="T27">
        <v>3</v>
      </c>
    </row>
    <row r="28">
      <c r="A28">
        <v>27</v>
      </c>
      <c r="B28">
        <v>4</v>
      </c>
      <c r="C28">
        <v>1</v>
      </c>
      <c r="V28">
        <v>1</v>
      </c>
    </row>
    <row r="29">
      <c r="A29">
        <v>28</v>
      </c>
      <c r="B29">
        <v>4</v>
      </c>
      <c r="C29">
        <v>1</v>
      </c>
    </row>
    <row r="30">
      <c r="A30">
        <v>29</v>
      </c>
      <c r="B30">
        <v>4</v>
      </c>
      <c r="D30">
        <v>1</v>
      </c>
      <c r="E30">
        <v>3</v>
      </c>
    </row>
    <row r="31">
      <c r="A31">
        <v>30</v>
      </c>
      <c r="B31">
        <v>4</v>
      </c>
      <c r="D31">
        <v>1</v>
      </c>
      <c r="G31">
        <v>3</v>
      </c>
    </row>
    <row r="32">
      <c r="A32">
        <v>31</v>
      </c>
      <c r="B32">
        <v>4</v>
      </c>
      <c r="C32">
        <v>2</v>
      </c>
      <c r="D32">
        <v>1</v>
      </c>
      <c r="J32">
        <v>2</v>
      </c>
      <c r="S32">
        <v>3</v>
      </c>
    </row>
    <row r="33">
      <c r="A33" t="str">
        <v>合共</v>
      </c>
      <c r="B33">
        <f>SUM(B2:B32)</f>
        <v>129</v>
      </c>
      <c r="C33">
        <f>SUM(C2:C32)</f>
        <v>26</v>
      </c>
      <c r="D33">
        <f>SUM(D2:D32)</f>
        <v>16</v>
      </c>
      <c r="E33">
        <f>SUM(E2:E32)</f>
        <v>12</v>
      </c>
      <c r="F33">
        <f>SUM(F2:F32)</f>
        <v>0</v>
      </c>
      <c r="G33">
        <f>SUM(G2:G32)</f>
        <v>15</v>
      </c>
      <c r="H33">
        <f>SUM(H2:H32)</f>
        <v>0</v>
      </c>
      <c r="I33">
        <f>SUM(I2:I32)</f>
        <v>0</v>
      </c>
      <c r="J33">
        <f>SUM(J2:J32)</f>
        <v>15</v>
      </c>
      <c r="K33">
        <f>SUM(K2:K32)</f>
        <v>0</v>
      </c>
      <c r="L33">
        <f>SUM(L2:L32)</f>
        <v>0</v>
      </c>
      <c r="M33">
        <f>SUM(M2:M32)</f>
        <v>0</v>
      </c>
      <c r="N33">
        <f>SUM(N2:N32)</f>
        <v>0</v>
      </c>
      <c r="O33">
        <f>SUM(O2:O32)</f>
        <v>0</v>
      </c>
      <c r="P33">
        <f>SUM(P2:P32)</f>
        <v>0</v>
      </c>
      <c r="Q33">
        <f>SUM(Q2:Q32)</f>
        <v>0</v>
      </c>
      <c r="R33">
        <f>SUM(R2:R32)</f>
        <v>2</v>
      </c>
      <c r="S33">
        <f>SUM(S2:S32)</f>
        <v>15</v>
      </c>
      <c r="T33">
        <f>SUM(T2:T32)</f>
        <v>8</v>
      </c>
      <c r="U33">
        <f>SUM(U2:U32)</f>
        <v>21</v>
      </c>
      <c r="V33">
        <f>SUM(V2:V32)</f>
        <v>5</v>
      </c>
    </row>
    <row r="34">
      <c r="A34" t="str">
        <v>价格</v>
      </c>
      <c r="B34">
        <v>69</v>
      </c>
      <c r="C34">
        <v>72.5</v>
      </c>
      <c r="D34">
        <v>150</v>
      </c>
      <c r="E34">
        <v>97</v>
      </c>
      <c r="F34">
        <v>8</v>
      </c>
      <c r="G34">
        <v>30</v>
      </c>
      <c r="H34">
        <v>42</v>
      </c>
      <c r="I34">
        <v>125</v>
      </c>
      <c r="J34">
        <v>36</v>
      </c>
      <c r="K34">
        <v>55</v>
      </c>
      <c r="L34">
        <v>22</v>
      </c>
      <c r="M34">
        <v>585</v>
      </c>
      <c r="N34">
        <v>15.8</v>
      </c>
      <c r="O34">
        <v>17</v>
      </c>
      <c r="P34">
        <v>70</v>
      </c>
      <c r="Q34">
        <v>20</v>
      </c>
      <c r="R34">
        <v>100</v>
      </c>
      <c r="S34">
        <v>5.5</v>
      </c>
      <c r="T34">
        <v>22</v>
      </c>
      <c r="U34">
        <v>4.37</v>
      </c>
      <c r="V34">
        <v>73</v>
      </c>
    </row>
    <row r="35">
      <c r="A35" t="str">
        <v>合共金额</v>
      </c>
      <c r="B35">
        <f>B33*B34</f>
        <v>8901</v>
      </c>
      <c r="C35">
        <f>C33*C34</f>
        <v>1885</v>
      </c>
      <c r="D35">
        <f>D33*D34</f>
        <v>2400</v>
      </c>
      <c r="E35">
        <f>E33*E34</f>
        <v>1164</v>
      </c>
      <c r="F35">
        <f>F33*F34</f>
        <v>0</v>
      </c>
      <c r="G35">
        <f>G33*G34</f>
        <v>450</v>
      </c>
      <c r="H35">
        <f>H33*H34</f>
        <v>0</v>
      </c>
      <c r="I35">
        <f>I33*I34</f>
        <v>0</v>
      </c>
      <c r="J35">
        <f>J33*J34</f>
        <v>540</v>
      </c>
      <c r="K35">
        <f>K33*K34</f>
        <v>0</v>
      </c>
      <c r="L35">
        <f>L33*L34</f>
        <v>0</v>
      </c>
      <c r="M35">
        <f>M33*M34</f>
        <v>0</v>
      </c>
      <c r="N35">
        <f>N33*N34</f>
        <v>0</v>
      </c>
      <c r="O35">
        <f>O33*O34</f>
        <v>0</v>
      </c>
      <c r="P35">
        <f>P33*P34</f>
        <v>0</v>
      </c>
      <c r="Q35">
        <f>Q33*Q34</f>
        <v>0</v>
      </c>
      <c r="R35">
        <f>R33*R34</f>
        <v>200</v>
      </c>
      <c r="S35">
        <f>S33*S34</f>
        <v>82.5</v>
      </c>
      <c r="T35">
        <f>T33*T34</f>
        <v>176</v>
      </c>
      <c r="U35">
        <f>U33*U34</f>
        <v>91.77</v>
      </c>
      <c r="V35">
        <f>V33*V34</f>
        <v>365</v>
      </c>
    </row>
    <row r="37">
      <c r="A37" t="str">
        <v>总金额</v>
      </c>
      <c r="B37">
        <f>B35+C35+D35+E35+F35+G35+H35+I35+J35+K35+L35+M35+N35+O35+P35+Q35+R35+S35+T35+U35+V35</f>
        <v>16255.27</v>
      </c>
    </row>
  </sheetData>
  <pageMargins left="0.393055555555556" right="0.393055555555556" top="1" bottom="1" header="0.5" footer="0.5"/>
  <ignoredErrors>
    <ignoredError numberStoredAsText="1" sqref="A1:V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37"/>
  <sheetViews>
    <sheetView workbookViewId="0" rightToLeft="0"/>
  </sheetViews>
  <sheetData>
    <row r="1">
      <c r="A1" t="str">
        <v>日期</v>
      </c>
      <c r="B1" t="str">
        <v>沙司</v>
      </c>
      <c r="C1" t="str">
        <v>面粉</v>
      </c>
      <c r="D1" t="str">
        <v>白糖</v>
      </c>
      <c r="E1" t="str">
        <v>盐</v>
      </c>
      <c r="F1" t="str">
        <v>淡奶油</v>
      </c>
      <c r="G1" t="str">
        <v>黄油</v>
      </c>
      <c r="H1" t="str">
        <v>生粉</v>
      </c>
      <c r="I1" t="str">
        <v>咖喱块</v>
      </c>
      <c r="J1" t="str">
        <v>黑椒汁</v>
      </c>
      <c r="K1" t="str">
        <v>茄膏</v>
      </c>
      <c r="L1" t="str">
        <v>白醋</v>
      </c>
      <c r="M1" t="str">
        <v>鸡粉</v>
      </c>
      <c r="N1" t="str">
        <v>油</v>
      </c>
      <c r="O1" t="str">
        <v>生抽</v>
      </c>
      <c r="P1" t="str">
        <v>鸡蛋</v>
      </c>
      <c r="Q1" t="str">
        <v>纯牛奶</v>
      </c>
      <c r="R1" t="str">
        <v>沙拉酱</v>
      </c>
      <c r="S1" t="str">
        <v>酸奶</v>
      </c>
    </row>
    <row r="2">
      <c r="A2">
        <v>1</v>
      </c>
      <c r="S2">
        <v>5</v>
      </c>
    </row>
    <row r="3">
      <c r="A3">
        <v>2</v>
      </c>
      <c r="S3">
        <v>10</v>
      </c>
    </row>
    <row r="4">
      <c r="A4">
        <v>3</v>
      </c>
      <c r="D4">
        <v>10</v>
      </c>
      <c r="S4">
        <v>8</v>
      </c>
    </row>
    <row r="5">
      <c r="A5">
        <v>4</v>
      </c>
      <c r="S5">
        <v>3</v>
      </c>
    </row>
    <row r="6">
      <c r="A6">
        <v>5</v>
      </c>
    </row>
    <row r="7">
      <c r="A7">
        <v>6</v>
      </c>
      <c r="S7">
        <v>10</v>
      </c>
    </row>
    <row r="8">
      <c r="A8">
        <v>7</v>
      </c>
      <c r="F8">
        <v>1</v>
      </c>
      <c r="H8">
        <v>6</v>
      </c>
      <c r="Q8">
        <v>1</v>
      </c>
      <c r="S8">
        <v>5</v>
      </c>
    </row>
    <row r="9">
      <c r="A9">
        <v>8</v>
      </c>
    </row>
    <row r="10">
      <c r="A10">
        <v>9</v>
      </c>
    </row>
    <row r="11">
      <c r="A11">
        <v>10</v>
      </c>
      <c r="D11">
        <v>10</v>
      </c>
      <c r="S11">
        <v>10</v>
      </c>
    </row>
    <row r="12">
      <c r="A12">
        <v>11</v>
      </c>
      <c r="S12">
        <v>6</v>
      </c>
    </row>
    <row r="13">
      <c r="A13">
        <v>12</v>
      </c>
      <c r="S13">
        <v>6</v>
      </c>
    </row>
    <row r="14">
      <c r="A14">
        <v>13</v>
      </c>
    </row>
    <row r="15">
      <c r="A15">
        <v>14</v>
      </c>
      <c r="Q15">
        <v>1</v>
      </c>
      <c r="S15">
        <v>10</v>
      </c>
    </row>
    <row r="16">
      <c r="A16">
        <v>15</v>
      </c>
    </row>
    <row r="17">
      <c r="A17">
        <v>16</v>
      </c>
      <c r="S17">
        <v>11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D21">
        <v>10</v>
      </c>
      <c r="F21">
        <v>1</v>
      </c>
      <c r="Q21">
        <v>1</v>
      </c>
      <c r="S21">
        <v>5</v>
      </c>
    </row>
    <row r="22">
      <c r="A22">
        <v>21</v>
      </c>
      <c r="H22">
        <v>6</v>
      </c>
      <c r="S22">
        <v>5</v>
      </c>
    </row>
    <row r="23">
      <c r="A23">
        <v>22</v>
      </c>
    </row>
    <row r="24">
      <c r="A24">
        <v>23</v>
      </c>
    </row>
    <row r="25">
      <c r="A25">
        <v>24</v>
      </c>
      <c r="S25">
        <v>7</v>
      </c>
    </row>
    <row r="26">
      <c r="A26">
        <v>25</v>
      </c>
      <c r="S26">
        <v>5</v>
      </c>
    </row>
    <row r="27">
      <c r="A27">
        <v>26</v>
      </c>
    </row>
    <row r="28">
      <c r="A28">
        <v>27</v>
      </c>
      <c r="D28">
        <v>10</v>
      </c>
      <c r="F28">
        <v>1</v>
      </c>
      <c r="H28">
        <v>6</v>
      </c>
      <c r="Q28">
        <v>1</v>
      </c>
      <c r="S28">
        <v>5</v>
      </c>
    </row>
    <row r="29">
      <c r="A29">
        <v>28</v>
      </c>
    </row>
    <row r="30">
      <c r="A30">
        <v>29</v>
      </c>
      <c r="S30">
        <v>5</v>
      </c>
    </row>
    <row r="31">
      <c r="A31">
        <v>30</v>
      </c>
      <c r="S31">
        <v>7</v>
      </c>
    </row>
    <row r="32">
      <c r="A32">
        <v>31</v>
      </c>
    </row>
    <row r="33">
      <c r="A33" t="str">
        <v>合共</v>
      </c>
      <c r="B33">
        <f>SUM(B2:B32)</f>
        <v>0</v>
      </c>
      <c r="C33">
        <f>SUM(C2:C32)</f>
        <v>0</v>
      </c>
      <c r="D33">
        <f>SUM(D2:D32)</f>
        <v>40</v>
      </c>
      <c r="E33">
        <f>SUM(E2:E32)</f>
        <v>0</v>
      </c>
      <c r="F33">
        <f>SUM(F2:F32)</f>
        <v>3</v>
      </c>
      <c r="G33">
        <f>SUM(G2:G32)</f>
        <v>0</v>
      </c>
      <c r="H33">
        <f>SUM(H2:H32)</f>
        <v>18</v>
      </c>
      <c r="I33">
        <f>SUM(I2:I32)</f>
        <v>0</v>
      </c>
      <c r="J33">
        <f>SUM(J2:J32)</f>
        <v>0</v>
      </c>
      <c r="K33">
        <f>SUM(K2:K32)</f>
        <v>0</v>
      </c>
      <c r="L33">
        <f>SUM(L2:L32)</f>
        <v>0</v>
      </c>
      <c r="M33">
        <f>SUM(M2:M32)</f>
        <v>0</v>
      </c>
      <c r="N33">
        <f>SUM(N2:N32)</f>
        <v>0</v>
      </c>
      <c r="O33">
        <f>SUM(O2:O32)</f>
        <v>0</v>
      </c>
      <c r="P33">
        <f>SUM(P2:P32)</f>
        <v>0</v>
      </c>
      <c r="Q33">
        <f>SUM(Q2:Q32)</f>
        <v>4</v>
      </c>
      <c r="R33">
        <f>SUM(R2:R32)</f>
        <v>0</v>
      </c>
      <c r="S33">
        <f>SUM(S2:S32)</f>
        <v>123</v>
      </c>
    </row>
    <row r="34">
      <c r="A34" t="str">
        <v>价格</v>
      </c>
      <c r="B34">
        <v>34.2</v>
      </c>
      <c r="C34">
        <v>1.95</v>
      </c>
      <c r="D34">
        <v>3.8</v>
      </c>
      <c r="E34">
        <v>4.5</v>
      </c>
      <c r="F34">
        <v>31</v>
      </c>
      <c r="G34">
        <v>22</v>
      </c>
      <c r="H34">
        <v>4.4</v>
      </c>
      <c r="I34">
        <v>50</v>
      </c>
      <c r="J34">
        <v>38.5</v>
      </c>
      <c r="K34">
        <v>44.5</v>
      </c>
      <c r="L34">
        <v>1.6</v>
      </c>
      <c r="M34">
        <v>45</v>
      </c>
      <c r="N34">
        <v>78</v>
      </c>
      <c r="O34">
        <v>18</v>
      </c>
      <c r="P34">
        <v>20</v>
      </c>
      <c r="Q34">
        <v>8</v>
      </c>
      <c r="R34">
        <v>15</v>
      </c>
      <c r="S34">
        <v>3.5</v>
      </c>
    </row>
    <row r="35">
      <c r="A35" t="str">
        <v>合共金额</v>
      </c>
      <c r="B35">
        <f>B33*B34</f>
        <v>0</v>
      </c>
      <c r="C35">
        <f>C33*C34</f>
        <v>0</v>
      </c>
      <c r="D35">
        <f>D33*D34</f>
        <v>152</v>
      </c>
      <c r="E35">
        <f>E33*E34</f>
        <v>0</v>
      </c>
      <c r="F35">
        <f>F33*F34</f>
        <v>93</v>
      </c>
      <c r="G35">
        <f>G33*G34</f>
        <v>0</v>
      </c>
      <c r="H35">
        <f>H33*H34</f>
        <v>79.2</v>
      </c>
      <c r="I35">
        <f>I33*I34</f>
        <v>0</v>
      </c>
      <c r="J35">
        <f>J33*J34</f>
        <v>0</v>
      </c>
      <c r="K35">
        <f>K33*K34</f>
        <v>0</v>
      </c>
      <c r="L35">
        <f>L33*L34</f>
        <v>0</v>
      </c>
      <c r="M35">
        <f>M33*M34</f>
        <v>0</v>
      </c>
      <c r="N35">
        <f>N33*N34</f>
        <v>0</v>
      </c>
      <c r="O35">
        <f>O33*O34</f>
        <v>0</v>
      </c>
      <c r="P35">
        <f>P33*P34</f>
        <v>0</v>
      </c>
      <c r="Q35">
        <f>Q33*Q34</f>
        <v>32</v>
      </c>
      <c r="R35">
        <f>R33*R34</f>
        <v>0</v>
      </c>
      <c r="S35">
        <f>S33*S34</f>
        <v>430.5</v>
      </c>
    </row>
    <row r="37">
      <c r="A37" t="str">
        <v>总金额</v>
      </c>
      <c r="B37">
        <f>B35+C35+D35+E35+F35+G35+H35+I35+J35+K35+L35+M35+N35+O35+P35+Q35+R35+S35</f>
        <v>786.7</v>
      </c>
    </row>
  </sheetData>
  <pageMargins left="0.393055555555556" right="0.393055555555556" top="1" bottom="1" header="0.5" footer="0.5"/>
  <ignoredErrors>
    <ignoredError numberStoredAsText="1" sqref="A1:S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37"/>
  <sheetViews>
    <sheetView workbookViewId="0" rightToLeft="0"/>
  </sheetViews>
  <sheetData>
    <row r="1">
      <c r="A1" t="str">
        <v>日期</v>
      </c>
      <c r="B1" t="str">
        <v>薯仔</v>
      </c>
      <c r="C1" t="str">
        <v>红萝卜</v>
      </c>
      <c r="D1" t="str">
        <v>番茄</v>
      </c>
      <c r="E1" t="str">
        <v>洋葱</v>
      </c>
      <c r="F1" t="str">
        <v>莲藕</v>
      </c>
      <c r="G1" t="str">
        <v>姜</v>
      </c>
      <c r="H1" t="str">
        <v>蒜</v>
      </c>
      <c r="I1" t="str">
        <v>西芹</v>
      </c>
    </row>
    <row r="2">
      <c r="A2">
        <v>1</v>
      </c>
      <c r="B2">
        <v>357</v>
      </c>
    </row>
    <row r="3">
      <c r="A3">
        <v>2</v>
      </c>
      <c r="B3">
        <v>293</v>
      </c>
    </row>
    <row r="4">
      <c r="A4">
        <v>3</v>
      </c>
      <c r="B4">
        <v>320</v>
      </c>
    </row>
    <row r="5">
      <c r="A5">
        <v>4</v>
      </c>
      <c r="B5">
        <v>318</v>
      </c>
      <c r="C5" t="str">
        <v>10月16</v>
      </c>
    </row>
    <row r="6">
      <c r="A6">
        <v>5</v>
      </c>
      <c r="B6">
        <v>233</v>
      </c>
    </row>
    <row r="7">
      <c r="A7">
        <v>6</v>
      </c>
      <c r="B7">
        <v>262</v>
      </c>
    </row>
    <row r="8">
      <c r="A8">
        <v>7</v>
      </c>
      <c r="B8">
        <v>335</v>
      </c>
    </row>
    <row r="9">
      <c r="A9">
        <v>8</v>
      </c>
      <c r="B9">
        <v>276</v>
      </c>
    </row>
    <row r="10">
      <c r="A10">
        <v>9</v>
      </c>
      <c r="B10">
        <v>223.2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 t="str">
        <v>合共</v>
      </c>
      <c r="B33">
        <f>SUM(B2:B32)</f>
        <v>2617.2</v>
      </c>
      <c r="C33">
        <f>SUM(C2:C32)</f>
        <v>0</v>
      </c>
      <c r="D33">
        <f>SUM(D2:D32)</f>
        <v>0</v>
      </c>
      <c r="E33">
        <f>SUM(E2:E32)</f>
        <v>0</v>
      </c>
      <c r="F33">
        <f>SUM(F2:F32)</f>
        <v>0</v>
      </c>
      <c r="G33">
        <f>SUM(G2:G32)</f>
        <v>0</v>
      </c>
      <c r="H33">
        <f>SUM(H2:H32)</f>
        <v>0</v>
      </c>
      <c r="I33">
        <f>SUM(I2:I32)</f>
        <v>0</v>
      </c>
      <c r="J33">
        <f>SUM(J2:J32)</f>
        <v>0</v>
      </c>
      <c r="K33">
        <f>SUM(K2:K32)</f>
        <v>0</v>
      </c>
      <c r="L33">
        <f>SUM(L2:L32)</f>
        <v>0</v>
      </c>
    </row>
    <row r="34">
      <c r="A34" t="str">
        <v>价格</v>
      </c>
      <c r="B34">
        <v>1</v>
      </c>
      <c r="C34">
        <v>1.5</v>
      </c>
      <c r="D34">
        <v>2</v>
      </c>
      <c r="F34">
        <v>3.3</v>
      </c>
    </row>
    <row r="35">
      <c r="A35" t="str">
        <v>合共金额</v>
      </c>
      <c r="B35">
        <f>B33*B34</f>
        <v>2617.2</v>
      </c>
      <c r="C35">
        <f>C33*C34</f>
        <v>0</v>
      </c>
      <c r="D35">
        <f>D33*D34</f>
        <v>0</v>
      </c>
      <c r="E35">
        <f>E33*E34</f>
        <v>0</v>
      </c>
      <c r="F35">
        <f>F33*F34</f>
        <v>0</v>
      </c>
      <c r="G35">
        <f>G33*G34</f>
        <v>0</v>
      </c>
      <c r="H35">
        <f>H33*H34</f>
        <v>0</v>
      </c>
      <c r="I35">
        <f>I33*I34</f>
        <v>0</v>
      </c>
      <c r="J35">
        <f>J33*J34</f>
        <v>0</v>
      </c>
      <c r="K35">
        <f>K33*K34</f>
        <v>0</v>
      </c>
      <c r="L35">
        <f>L33*L34</f>
        <v>0</v>
      </c>
    </row>
    <row r="37">
      <c r="A37" t="str">
        <v>总金额</v>
      </c>
      <c r="B37">
        <f>B35+C35+D35+F35+E35+G35+H35+I35</f>
        <v>2617.2</v>
      </c>
    </row>
  </sheetData>
  <pageMargins left="0.393055555555556" right="0.393055555555556" top="1" bottom="1" header="0.5" footer="0.5"/>
  <ignoredErrors>
    <ignoredError numberStoredAsText="1" sqref="A1:L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37"/>
  <sheetViews>
    <sheetView workbookViewId="0" rightToLeft="0"/>
  </sheetViews>
  <sheetData>
    <row r="1">
      <c r="A1" t="str">
        <v>日期</v>
      </c>
      <c r="B1" t="str">
        <v>纸盒</v>
      </c>
      <c r="C1" t="str">
        <v>锡纸盒</v>
      </c>
      <c r="D1" t="str">
        <v>叉勺</v>
      </c>
      <c r="E1" t="str">
        <v>大叉</v>
      </c>
      <c r="F1" t="str">
        <v>打包带</v>
      </c>
      <c r="G1" t="str">
        <v>牙签纸</v>
      </c>
      <c r="H1" t="str">
        <v>封口贴</v>
      </c>
      <c r="I1" t="str">
        <v>汤碗</v>
      </c>
      <c r="J1" t="str">
        <v>360碗</v>
      </c>
      <c r="K1" t="str">
        <v>500盒</v>
      </c>
      <c r="L1" t="str">
        <v>抽纸</v>
      </c>
      <c r="M1" t="str">
        <v>一次性杯</v>
      </c>
      <c r="N1" t="str">
        <v>返现卷</v>
      </c>
      <c r="O1" t="str">
        <v>汤勺</v>
      </c>
      <c r="P1" t="str">
        <v>收银纸</v>
      </c>
      <c r="Q1" t="str">
        <v>牙签</v>
      </c>
      <c r="R1" t="str">
        <v>保鲜膜</v>
      </c>
      <c r="S1" t="str">
        <v>垃圾袋</v>
      </c>
    </row>
    <row r="2">
      <c r="A2">
        <v>1</v>
      </c>
    </row>
    <row r="3">
      <c r="A3">
        <v>2</v>
      </c>
    </row>
    <row r="4">
      <c r="A4">
        <v>3</v>
      </c>
      <c r="B4">
        <v>1000</v>
      </c>
    </row>
    <row r="5">
      <c r="A5">
        <v>4</v>
      </c>
      <c r="C5">
        <v>1</v>
      </c>
    </row>
    <row r="6">
      <c r="A6">
        <v>5</v>
      </c>
      <c r="G6">
        <v>25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>
        <v>1000</v>
      </c>
    </row>
    <row r="12">
      <c r="A12">
        <v>11</v>
      </c>
      <c r="C12">
        <v>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>
        <v>800</v>
      </c>
    </row>
    <row r="17">
      <c r="A17">
        <v>16</v>
      </c>
      <c r="C17">
        <v>1</v>
      </c>
    </row>
    <row r="18">
      <c r="A18">
        <v>17</v>
      </c>
    </row>
    <row r="19">
      <c r="A19">
        <v>18</v>
      </c>
    </row>
    <row r="20">
      <c r="A20">
        <v>19</v>
      </c>
      <c r="B20">
        <v>1000</v>
      </c>
    </row>
    <row r="21">
      <c r="A21">
        <v>20</v>
      </c>
    </row>
    <row r="22">
      <c r="A22">
        <v>21</v>
      </c>
      <c r="C22">
        <v>1</v>
      </c>
    </row>
    <row r="23">
      <c r="A23">
        <v>22</v>
      </c>
    </row>
    <row r="24">
      <c r="A24">
        <v>23</v>
      </c>
    </row>
    <row r="25">
      <c r="A25">
        <v>24</v>
      </c>
      <c r="D25">
        <v>1</v>
      </c>
      <c r="G25">
        <v>25</v>
      </c>
    </row>
    <row r="26">
      <c r="A26">
        <v>25</v>
      </c>
    </row>
    <row r="27">
      <c r="A27">
        <v>26</v>
      </c>
    </row>
    <row r="28">
      <c r="A28">
        <v>27</v>
      </c>
      <c r="B28">
        <v>1000</v>
      </c>
      <c r="C28">
        <v>1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 t="str">
        <v>合共</v>
      </c>
      <c r="B33">
        <f>SUM(B2:B32)</f>
        <v>4800</v>
      </c>
      <c r="C33">
        <f>SUM(C2:C32)</f>
        <v>5</v>
      </c>
      <c r="D33">
        <f>SUM(D2:D32)</f>
        <v>1</v>
      </c>
      <c r="E33">
        <f>SUM(E2:E32)</f>
        <v>0</v>
      </c>
      <c r="F33">
        <f>SUM(F2:F32)</f>
        <v>0</v>
      </c>
      <c r="G33">
        <f>SUM(G2:G32)</f>
        <v>50</v>
      </c>
      <c r="H33">
        <f>SUM(H2:H32)</f>
        <v>0</v>
      </c>
      <c r="I33">
        <f>SUM(I2:I32)</f>
        <v>0</v>
      </c>
      <c r="J33">
        <f>SUM(J2:J32)</f>
        <v>0</v>
      </c>
      <c r="K33">
        <f>SUM(K2:K32)</f>
        <v>0</v>
      </c>
      <c r="L33">
        <f>SUM(L2:L32)</f>
        <v>0</v>
      </c>
      <c r="M33">
        <f>SUM(M2:M32)</f>
        <v>0</v>
      </c>
      <c r="N33">
        <f>SUM(N2:N32)</f>
        <v>0</v>
      </c>
      <c r="O33">
        <f>SUM(O2:O32)</f>
        <v>0</v>
      </c>
      <c r="P33">
        <f>SUM(P2:P32)</f>
        <v>0</v>
      </c>
      <c r="Q33">
        <f>SUM(Q2:Q32)</f>
        <v>0</v>
      </c>
      <c r="R33">
        <f>SUM(R2:R32)</f>
        <v>0</v>
      </c>
      <c r="S33">
        <f>SUM(S2:S32)</f>
        <v>0</v>
      </c>
    </row>
    <row r="34">
      <c r="A34" t="str">
        <v>价格</v>
      </c>
      <c r="B34">
        <v>0.47</v>
      </c>
      <c r="C34">
        <v>305.5</v>
      </c>
      <c r="D34">
        <v>425</v>
      </c>
      <c r="E34">
        <v>115</v>
      </c>
      <c r="F34">
        <v>35</v>
      </c>
      <c r="G34">
        <v>7.5</v>
      </c>
      <c r="H34">
        <v>32.5</v>
      </c>
      <c r="L34">
        <v>20</v>
      </c>
      <c r="R34">
        <v>25</v>
      </c>
      <c r="S34">
        <v>0.5</v>
      </c>
    </row>
    <row r="35">
      <c r="A35" t="str">
        <v>合共金额</v>
      </c>
      <c r="B35">
        <f>B33*B34</f>
        <v>2256</v>
      </c>
      <c r="C35">
        <f>C33*C34</f>
        <v>1527.5</v>
      </c>
      <c r="D35">
        <f>D33*D34</f>
        <v>425</v>
      </c>
      <c r="E35">
        <f>E33*E34</f>
        <v>0</v>
      </c>
      <c r="F35">
        <f>F33*F34</f>
        <v>0</v>
      </c>
      <c r="G35">
        <f>G33*G34</f>
        <v>375</v>
      </c>
      <c r="H35">
        <f>H33*H34</f>
        <v>0</v>
      </c>
      <c r="I35">
        <f>I33*I34</f>
        <v>0</v>
      </c>
      <c r="J35">
        <f>J33*J34</f>
        <v>0</v>
      </c>
      <c r="K35">
        <f>K33*K34</f>
        <v>0</v>
      </c>
      <c r="L35">
        <f>L33*L34</f>
        <v>0</v>
      </c>
      <c r="M35">
        <f>M33*M34</f>
        <v>0</v>
      </c>
      <c r="N35">
        <f>N33*N34</f>
        <v>0</v>
      </c>
      <c r="O35">
        <f>O33*O34</f>
        <v>0</v>
      </c>
      <c r="P35">
        <f>P33*P34</f>
        <v>0</v>
      </c>
      <c r="Q35">
        <f>Q33*Q34</f>
        <v>0</v>
      </c>
      <c r="R35">
        <f>R33*R34</f>
        <v>0</v>
      </c>
      <c r="S35">
        <f>S33*S34</f>
        <v>0</v>
      </c>
    </row>
    <row r="37">
      <c r="A37" t="str">
        <v>总金额</v>
      </c>
      <c r="B37">
        <f>B35+C35+D35+E35+F35+G35+H35+I35+J35+K35+L35+M35+N35+O35+Q35++P35+R35+S35</f>
        <v>4583.5</v>
      </c>
    </row>
  </sheetData>
  <pageMargins left="0.393055555555556" right="0.393055555555556" top="1" bottom="1" header="0.5" footer="0.5"/>
  <ignoredErrors>
    <ignoredError numberStoredAsText="1" sqref="A1:S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8"/>
  <sheetViews>
    <sheetView workbookViewId="0" rightToLeft="0"/>
  </sheetViews>
  <sheetData>
    <row r="1">
      <c r="A1" t="str">
        <v>日期</v>
      </c>
    </row>
    <row r="2">
      <c r="A2">
        <v>1</v>
      </c>
      <c r="B2">
        <v>2860</v>
      </c>
    </row>
    <row r="3">
      <c r="A3">
        <v>2</v>
      </c>
      <c r="B3">
        <v>3472.33</v>
      </c>
    </row>
    <row r="4">
      <c r="A4">
        <v>3</v>
      </c>
      <c r="B4">
        <v>2914</v>
      </c>
    </row>
    <row r="5">
      <c r="A5">
        <v>4</v>
      </c>
      <c r="B5">
        <v>1437.5</v>
      </c>
    </row>
    <row r="6">
      <c r="B6">
        <v>3261.5</v>
      </c>
    </row>
    <row r="7">
      <c r="A7">
        <v>5</v>
      </c>
      <c r="B7">
        <v>2987.5</v>
      </c>
    </row>
    <row r="8">
      <c r="A8">
        <v>6</v>
      </c>
      <c r="B8">
        <v>1863.5</v>
      </c>
    </row>
    <row r="9">
      <c r="A9">
        <v>7</v>
      </c>
    </row>
    <row r="10">
      <c r="A10">
        <v>8</v>
      </c>
    </row>
    <row r="11">
      <c r="A11">
        <v>9</v>
      </c>
    </row>
    <row r="12">
      <c r="A12">
        <v>10</v>
      </c>
    </row>
    <row r="14">
      <c r="A14">
        <v>11</v>
      </c>
    </row>
    <row r="15">
      <c r="A15">
        <v>12</v>
      </c>
    </row>
    <row r="16">
      <c r="A16">
        <v>13</v>
      </c>
    </row>
    <row r="17">
      <c r="A17">
        <v>14</v>
      </c>
    </row>
    <row r="18">
      <c r="A18">
        <v>15</v>
      </c>
    </row>
    <row r="19">
      <c r="A19">
        <v>16</v>
      </c>
    </row>
    <row r="21">
      <c r="A21">
        <v>17</v>
      </c>
    </row>
    <row r="22">
      <c r="A22">
        <v>18</v>
      </c>
    </row>
    <row r="24">
      <c r="A24">
        <v>19</v>
      </c>
    </row>
    <row r="25">
      <c r="A25">
        <v>20</v>
      </c>
    </row>
    <row r="26">
      <c r="A26">
        <v>21</v>
      </c>
    </row>
    <row r="27">
      <c r="A27">
        <v>22</v>
      </c>
    </row>
    <row r="28">
      <c r="A28">
        <v>23</v>
      </c>
    </row>
    <row r="29">
      <c r="A29">
        <v>24</v>
      </c>
    </row>
    <row r="30">
      <c r="A30">
        <v>25</v>
      </c>
    </row>
    <row r="31">
      <c r="A31">
        <v>26</v>
      </c>
    </row>
    <row r="32">
      <c r="A32">
        <v>27</v>
      </c>
    </row>
    <row r="34">
      <c r="A34">
        <v>28</v>
      </c>
    </row>
    <row r="35">
      <c r="A35">
        <v>29</v>
      </c>
    </row>
    <row r="36">
      <c r="A36">
        <v>30</v>
      </c>
    </row>
    <row r="37">
      <c r="A37">
        <v>31</v>
      </c>
    </row>
    <row r="38">
      <c r="A38" t="str">
        <v>合共金额</v>
      </c>
      <c r="B38">
        <f>SUM(B2:B37)</f>
        <v>18796.33</v>
      </c>
    </row>
  </sheetData>
  <pageMargins left="0.75" right="0.75" top="1" bottom="1" header="0.5" footer="0.5"/>
  <ignoredErrors>
    <ignoredError numberStoredAsText="1" sqref="A1:H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3"/>
  <sheetViews>
    <sheetView workbookViewId="0" rightToLeft="0"/>
  </sheetViews>
  <sheetData>
    <row r="1">
      <c r="A1" t="str">
        <v>日期</v>
      </c>
    </row>
    <row r="2">
      <c r="A2">
        <v>1</v>
      </c>
      <c r="B2">
        <v>550</v>
      </c>
      <c r="C2" t="str">
        <v>蘑菇</v>
      </c>
    </row>
    <row r="3">
      <c r="A3">
        <v>2</v>
      </c>
      <c r="B3">
        <v>226</v>
      </c>
      <c r="C3" t="str">
        <v>打包汤碗</v>
      </c>
    </row>
    <row r="4">
      <c r="A4">
        <v>3</v>
      </c>
      <c r="B4">
        <v>241.64</v>
      </c>
      <c r="C4" t="str">
        <v>热敏纸</v>
      </c>
      <c r="D4">
        <v>10.16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1">
      <c r="A31">
        <v>30</v>
      </c>
    </row>
    <row r="32">
      <c r="A32">
        <v>31</v>
      </c>
    </row>
    <row r="33">
      <c r="A33" t="str">
        <v>合共金额</v>
      </c>
      <c r="B33">
        <f>SUM(B2:B32)</f>
        <v>1017.64</v>
      </c>
    </row>
  </sheetData>
  <pageMargins left="0.75" right="0.75" top="1" bottom="1" header="0.5" footer="0.5"/>
  <ignoredErrors>
    <ignoredError numberStoredAsText="1" sqref="A1:D3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33"/>
  <sheetViews>
    <sheetView workbookViewId="0" rightToLeft="0"/>
  </sheetViews>
  <sheetData>
    <row r="1">
      <c r="A1" t="str">
        <v>日期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 t="str">
        <v>合共金额</v>
      </c>
      <c r="B33">
        <f>SUM(B2:B32)</f>
        <v>0</v>
      </c>
    </row>
  </sheetData>
  <pageMargins left="0.75" right="0.75" top="1" bottom="1" header="0.5" footer="0.5"/>
  <ignoredErrors>
    <ignoredError numberStoredAsText="1" sqref="A1:B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6"/>
  <sheetViews>
    <sheetView workbookViewId="0" rightToLeft="0"/>
  </sheetViews>
  <sheetData>
    <row r="1">
      <c r="A1" t="str">
        <v>日期</v>
      </c>
      <c r="B1" t="str">
        <v>可乐</v>
      </c>
      <c r="C1" t="str">
        <v>冰红茶</v>
      </c>
      <c r="D1" t="str">
        <v>水</v>
      </c>
    </row>
    <row r="2">
      <c r="A2">
        <v>1</v>
      </c>
      <c r="C2">
        <v>350</v>
      </c>
    </row>
    <row r="3">
      <c r="A3">
        <v>2</v>
      </c>
      <c r="C3">
        <v>126</v>
      </c>
    </row>
    <row r="4">
      <c r="A4">
        <v>3</v>
      </c>
      <c r="C4">
        <v>298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 t="str">
        <v>合计数量</v>
      </c>
      <c r="B33">
        <f>SUM(B2:B32)</f>
        <v>0</v>
      </c>
      <c r="C33">
        <f>SUM(C2:C32)</f>
        <v>774</v>
      </c>
      <c r="D33">
        <f>SUM(D2:D32)</f>
        <v>0</v>
      </c>
    </row>
    <row r="34">
      <c r="A34" t="str">
        <v>价格</v>
      </c>
      <c r="B34">
        <v>1</v>
      </c>
      <c r="C34">
        <v>1</v>
      </c>
      <c r="D34">
        <v>16</v>
      </c>
    </row>
    <row r="35">
      <c r="B35">
        <f>B33*B34</f>
        <v>0</v>
      </c>
      <c r="C35">
        <f>C33*C34</f>
        <v>774</v>
      </c>
      <c r="D35">
        <f>D33*D34</f>
        <v>0</v>
      </c>
    </row>
    <row r="36">
      <c r="A36" t="str">
        <v>合共金额</v>
      </c>
      <c r="B36">
        <f>SUM(B35:D35)</f>
        <v>774</v>
      </c>
    </row>
  </sheetData>
  <pageMargins left="0.75" right="0.75" top="1" bottom="1" header="0.5" footer="0.5"/>
  <ignoredErrors>
    <ignoredError numberStoredAsText="1" sqref="A1:D3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35"/>
  <sheetViews>
    <sheetView workbookViewId="0" rightToLeft="0"/>
  </sheetViews>
  <sheetData>
    <row r="1">
      <c r="A1" t="str">
        <v>日期</v>
      </c>
      <c r="B1" t="str">
        <v>米</v>
      </c>
    </row>
    <row r="2">
      <c r="A2">
        <v>1</v>
      </c>
      <c r="B2">
        <v>1590</v>
      </c>
    </row>
    <row r="3">
      <c r="A3">
        <v>2</v>
      </c>
      <c r="B3">
        <v>1594.48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 t="str">
        <v>合计数量</v>
      </c>
      <c r="B33">
        <f>SUM(B2:B32)</f>
        <v>3184.48</v>
      </c>
    </row>
    <row r="34">
      <c r="A34" t="str">
        <v>价格</v>
      </c>
      <c r="B34">
        <v>1</v>
      </c>
    </row>
    <row r="35">
      <c r="A35" t="str">
        <v>合共金额</v>
      </c>
      <c r="B35">
        <f>B33*B34</f>
        <v>3184.48</v>
      </c>
    </row>
  </sheetData>
  <pageMargins left="0.75" right="0.75" top="1" bottom="1" header="0.5" footer="0.5"/>
  <ignoredErrors>
    <ignoredError numberStoredAsText="1" sqref="A1:D3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33"/>
  <sheetViews>
    <sheetView workbookViewId="0" rightToLeft="0"/>
  </sheetViews>
  <sheetData>
    <row r="1">
      <c r="A1" t="str">
        <v>日期</v>
      </c>
    </row>
    <row r="2">
      <c r="A2">
        <v>1</v>
      </c>
      <c r="B2">
        <v>239</v>
      </c>
      <c r="C2" t="str">
        <v>话费</v>
      </c>
    </row>
    <row r="3">
      <c r="A3">
        <v>2</v>
      </c>
      <c r="B3">
        <f>41+82</f>
        <v>123</v>
      </c>
      <c r="C3" t="str">
        <v>不锈钢盆</v>
      </c>
    </row>
    <row r="4">
      <c r="A4">
        <v>3</v>
      </c>
      <c r="B4">
        <v>50.3</v>
      </c>
      <c r="C4" t="str">
        <v>鸡蛋</v>
      </c>
    </row>
    <row r="5">
      <c r="A5">
        <v>4</v>
      </c>
      <c r="B5">
        <f>20+20+20+20+20+21+13+22+14+24+33.8+25.9+23.5+27.8+33.8+25.9+23</f>
        <v>387.7</v>
      </c>
      <c r="C5" t="str">
        <v>员工餐</v>
      </c>
    </row>
    <row r="6">
      <c r="A6">
        <v>5</v>
      </c>
      <c r="B6">
        <v>300</v>
      </c>
      <c r="C6" t="str">
        <v>加油</v>
      </c>
    </row>
    <row r="7">
      <c r="A7">
        <v>6</v>
      </c>
      <c r="B7">
        <v>59.6</v>
      </c>
      <c r="C7" t="str">
        <v>老鼠药</v>
      </c>
    </row>
    <row r="8">
      <c r="A8">
        <v>7</v>
      </c>
      <c r="B8">
        <v>76</v>
      </c>
      <c r="C8" t="str">
        <v>进口萝卜</v>
      </c>
    </row>
    <row r="9">
      <c r="A9">
        <v>8</v>
      </c>
      <c r="B9">
        <v>98</v>
      </c>
      <c r="C9" t="str">
        <v>洗衣粉</v>
      </c>
    </row>
    <row r="10">
      <c r="A10">
        <v>9</v>
      </c>
      <c r="B10">
        <f>25.9+26+5</f>
        <v>56.9</v>
      </c>
      <c r="C10" t="str">
        <v>退款</v>
      </c>
    </row>
    <row r="11">
      <c r="A11">
        <v>10</v>
      </c>
      <c r="B11">
        <f>19+24</f>
        <v>43</v>
      </c>
      <c r="C11" t="str">
        <v>运费</v>
      </c>
    </row>
    <row r="12">
      <c r="A12">
        <v>11</v>
      </c>
      <c r="B12">
        <v>953.8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 t="str">
        <v>合共费用</v>
      </c>
      <c r="B33">
        <f>SUM(B2:B32)</f>
        <v>2387.3</v>
      </c>
    </row>
  </sheetData>
  <pageMargins left="0.75" right="0.75" top="1" bottom="1" header="0.5" footer="0.5"/>
  <ignoredErrors>
    <ignoredError numberStoredAsText="1" sqref="A1:C3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33"/>
  <sheetViews>
    <sheetView workbookViewId="0" rightToLeft="0"/>
  </sheetViews>
  <sheetData>
    <row r="1">
      <c r="A1" t="str">
        <v>日期</v>
      </c>
      <c r="B1" t="str">
        <v>金额</v>
      </c>
    </row>
    <row r="2">
      <c r="A2">
        <v>1</v>
      </c>
      <c r="B2">
        <v>1725</v>
      </c>
      <c r="C2" t="str">
        <v>收银系统</v>
      </c>
    </row>
    <row r="3">
      <c r="A3">
        <v>2</v>
      </c>
      <c r="B3">
        <v>1300</v>
      </c>
      <c r="C3" t="str">
        <v>保温柜</v>
      </c>
    </row>
    <row r="4">
      <c r="A4">
        <v>3</v>
      </c>
      <c r="B4">
        <v>499</v>
      </c>
      <c r="C4" t="str">
        <v>滚桶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 t="str">
        <v>总金额</v>
      </c>
      <c r="B33">
        <f>SUM(B2:B32)</f>
        <v>3524</v>
      </c>
    </row>
  </sheetData>
  <pageMargins left="0.75" right="0.75" top="1" bottom="1" header="0.5" footer="0.5"/>
  <ignoredErrors>
    <ignoredError numberStoredAsText="1" sqref="A1:C3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T21"/>
  <sheetViews>
    <sheetView workbookViewId="0" rightToLeft="0"/>
  </sheetViews>
  <sheetData>
    <row r="1">
      <c r="A1" t="str">
        <v>乐客2024年10月薪资表</v>
      </c>
    </row>
    <row r="2" xml:space="preserve">
      <c r="A2">
        <v>4</v>
      </c>
      <c r="B2" t="str">
        <v>姓名</v>
      </c>
      <c r="C2" t="str">
        <v>月薪</v>
      </c>
      <c r="D2" t="str">
        <v>时薪</v>
      </c>
      <c r="E2" t="str">
        <v>出勤状况</v>
      </c>
      <c r="F2" t="str" xml:space="preserve">
        <v xml:space="preserve">出勤
扣款</v>
      </c>
      <c r="G2" t="str" xml:space="preserve">
        <v xml:space="preserve">三倍
薪资</v>
      </c>
      <c r="H2" t="str">
        <v>全勤</v>
      </c>
      <c r="I2" t="str" xml:space="preserve">
        <v xml:space="preserve">加班
薪资</v>
      </c>
      <c r="J2" t="str">
        <v>仓库加班</v>
      </c>
      <c r="K2" t="str">
        <v>生活津贴</v>
      </c>
      <c r="L2" t="str" xml:space="preserve">
        <v xml:space="preserve">应发
工资</v>
      </c>
      <c r="M2" t="str">
        <v>奖励/提成</v>
      </c>
      <c r="N2" t="str">
        <v>实发薪资</v>
      </c>
      <c r="O2" t="str">
        <v>欠款</v>
      </c>
      <c r="P2" t="str" xml:space="preserve">
        <v xml:space="preserve">水电
扣款</v>
      </c>
      <c r="Q2" t="str" xml:space="preserve">
        <v xml:space="preserve">还款后
薪资</v>
      </c>
      <c r="R2" t="str">
        <v>备注</v>
      </c>
      <c r="S2" t="str">
        <v>签名</v>
      </c>
    </row>
    <row r="3">
      <c r="B3" t="str">
        <v>李荣湛</v>
      </c>
      <c r="C3">
        <v>8000</v>
      </c>
      <c r="E3">
        <v>30</v>
      </c>
      <c r="I3">
        <v>1066.6</v>
      </c>
      <c r="L3">
        <f>C3-F3+G3+H3+I3+K3</f>
        <v>9066.6</v>
      </c>
      <c r="N3">
        <f>L3+M3</f>
        <v>9066.6</v>
      </c>
      <c r="Q3">
        <f>N3-O3-P3</f>
        <v>9066.6</v>
      </c>
      <c r="S3">
        <f>Q3-R3</f>
        <v>9066.6</v>
      </c>
    </row>
    <row r="4">
      <c r="A4">
        <v>2</v>
      </c>
      <c r="B4" t="str">
        <v>猪猪</v>
      </c>
      <c r="C4">
        <v>0</v>
      </c>
      <c r="D4">
        <v>16</v>
      </c>
      <c r="E4">
        <v>86</v>
      </c>
      <c r="L4">
        <f>D4*E4</f>
        <v>1376</v>
      </c>
      <c r="N4">
        <f>D4*E4</f>
        <v>1376</v>
      </c>
      <c r="Q4">
        <f>N4-O4-P4</f>
        <v>1376</v>
      </c>
    </row>
    <row r="5">
      <c r="A5">
        <v>3</v>
      </c>
      <c r="B5" t="str">
        <v>大姐</v>
      </c>
      <c r="C5">
        <v>5700</v>
      </c>
      <c r="E5">
        <v>26</v>
      </c>
      <c r="I5">
        <v>190</v>
      </c>
      <c r="L5">
        <f>C5-F5+G5+H5+I5+K5</f>
        <v>5890</v>
      </c>
      <c r="N5">
        <f>L5+M5+J5</f>
        <v>5890</v>
      </c>
      <c r="Q5">
        <f>N5-O5-P5</f>
        <v>5890</v>
      </c>
    </row>
    <row r="6">
      <c r="A6">
        <v>4</v>
      </c>
      <c r="B6" t="str">
        <v>菊姐</v>
      </c>
      <c r="C6">
        <v>4700</v>
      </c>
      <c r="E6">
        <v>28</v>
      </c>
      <c r="L6">
        <f>C6-F6+G6+H6+I6+K6</f>
        <v>4700</v>
      </c>
      <c r="N6">
        <f>L6+M6</f>
        <v>4700</v>
      </c>
      <c r="Q6">
        <f>N6-O6-P6</f>
        <v>4700</v>
      </c>
    </row>
    <row r="7">
      <c r="A7">
        <v>7</v>
      </c>
      <c r="B7" t="str">
        <v>阿姨（兼职）</v>
      </c>
      <c r="D7">
        <v>16</v>
      </c>
      <c r="E7">
        <v>96</v>
      </c>
      <c r="L7">
        <f>D7*E7</f>
        <v>1536</v>
      </c>
      <c r="N7">
        <f>L7+M7+G7</f>
        <v>1536</v>
      </c>
      <c r="Q7">
        <f>N7-O7-P7</f>
        <v>1536</v>
      </c>
    </row>
    <row r="8">
      <c r="A8">
        <v>9</v>
      </c>
      <c r="B8" t="str">
        <v>苏颖衡（兼职）</v>
      </c>
      <c r="D8">
        <v>16</v>
      </c>
      <c r="L8">
        <f>D8*E8</f>
        <v>0</v>
      </c>
      <c r="N8">
        <f>L8+M8+G8</f>
        <v>0</v>
      </c>
      <c r="Q8">
        <f>N8-O8-P8</f>
        <v>0</v>
      </c>
      <c r="S8">
        <v>1375.7</v>
      </c>
    </row>
    <row r="9">
      <c r="A9" t="str">
        <v>合计</v>
      </c>
      <c r="C9">
        <f>SUM(C3:C8)</f>
        <v>18400</v>
      </c>
      <c r="E9">
        <f>SUM(E3:E3)</f>
        <v>30</v>
      </c>
      <c r="F9">
        <f>SUM(F3:F8)</f>
        <v>0</v>
      </c>
      <c r="G9">
        <f>SUM(G3:G8)</f>
        <v>0</v>
      </c>
      <c r="H9">
        <f>SUM(H3:H3)</f>
        <v>0</v>
      </c>
      <c r="I9">
        <f>SUM(I3:I8)</f>
        <v>1256.6</v>
      </c>
      <c r="K9">
        <f>SUM(K3:K3)</f>
        <v>0</v>
      </c>
      <c r="L9">
        <f>SUM(L3:L8)</f>
        <v>22568.6</v>
      </c>
      <c r="M9">
        <f>SUM(M3:M8)</f>
        <v>0</v>
      </c>
      <c r="N9">
        <f>SUM(N3:N8)</f>
        <v>22568.6</v>
      </c>
      <c r="P9">
        <f>SUM(P3:P3)</f>
        <v>0</v>
      </c>
      <c r="Q9">
        <f>SUM(Q3:Q8)</f>
        <v>22568.6</v>
      </c>
    </row>
    <row r="10">
      <c r="A10" t="str">
        <v>营业额</v>
      </c>
    </row>
    <row r="11">
      <c r="B11" t="str">
        <v>电费水电预估</v>
      </c>
      <c r="C11">
        <v>3500</v>
      </c>
      <c r="P11">
        <v>1279.88</v>
      </c>
    </row>
  </sheetData>
  <mergeCells count="2">
    <mergeCell ref="A1:R1"/>
    <mergeCell ref="A9:B9"/>
  </mergeCells>
  <pageMargins left="0.75" right="0.75" top="1" bottom="1" header="0.5" footer="0.5"/>
  <ignoredErrors>
    <ignoredError numberStoredAsText="1" sqref="A1:T2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XFD74"/>
  <sheetViews>
    <sheetView workbookViewId="0" rightToLeft="0"/>
  </sheetViews>
  <sheetData>
    <row r="1">
      <c r="A1" t="str">
        <v>冻货</v>
      </c>
      <c r="H1" t="str">
        <v>酱料</v>
      </c>
    </row>
    <row r="2">
      <c r="A2" t="str">
        <v>品类</v>
      </c>
      <c r="B2" t="str">
        <v>规格</v>
      </c>
      <c r="C2" t="str">
        <v>单价</v>
      </c>
      <c r="E2" t="str">
        <v>数量</v>
      </c>
      <c r="F2" t="str">
        <v>金额</v>
      </c>
      <c r="H2" t="str">
        <v>品类</v>
      </c>
      <c r="J2" t="str">
        <v>单价</v>
      </c>
      <c r="L2" t="str">
        <v>数量</v>
      </c>
      <c r="M2" t="str">
        <v>金额</v>
      </c>
    </row>
    <row r="3">
      <c r="A3" t="str">
        <v>鸡扒</v>
      </c>
      <c r="B3" t="str">
        <v>132元/件，24块/袋</v>
      </c>
      <c r="C3">
        <v>68.5</v>
      </c>
      <c r="D3" t="str">
        <v>袋</v>
      </c>
      <c r="E3">
        <v>9</v>
      </c>
      <c r="F3">
        <f>C3*E3</f>
        <v>616.5</v>
      </c>
      <c r="H3" t="str">
        <v>鸡蛋</v>
      </c>
      <c r="J3">
        <v>4.35</v>
      </c>
      <c r="K3" t="str">
        <v>斤</v>
      </c>
      <c r="L3">
        <v>30</v>
      </c>
      <c r="M3">
        <f>J3*L3</f>
        <v>130.5</v>
      </c>
    </row>
    <row r="4">
      <c r="A4" t="str">
        <v>芝士</v>
      </c>
      <c r="B4" t="str">
        <v>12kg/件</v>
      </c>
      <c r="C4">
        <v>520</v>
      </c>
      <c r="D4" t="str">
        <v>件</v>
      </c>
      <c r="E4">
        <v>6</v>
      </c>
      <c r="F4">
        <f>C4*E4</f>
        <v>3120</v>
      </c>
      <c r="H4" t="str">
        <v>调和油</v>
      </c>
      <c r="J4">
        <v>153</v>
      </c>
      <c r="K4" t="str">
        <v>罐</v>
      </c>
      <c r="L4">
        <v>0.9</v>
      </c>
      <c r="M4">
        <f>J4*L4</f>
        <v>137.7</v>
      </c>
    </row>
    <row r="5">
      <c r="A5" t="str">
        <v>杂蔬粒</v>
      </c>
      <c r="B5" t="str">
        <v>4袋/件,2.5kg/袋</v>
      </c>
      <c r="C5">
        <v>17</v>
      </c>
      <c r="D5" t="str">
        <v>袋</v>
      </c>
      <c r="E5">
        <v>6</v>
      </c>
      <c r="F5">
        <f>C5*E5</f>
        <v>102</v>
      </c>
      <c r="H5" t="str">
        <v>纯牛奶</v>
      </c>
      <c r="J5">
        <v>9</v>
      </c>
      <c r="K5" t="str">
        <v>盒</v>
      </c>
      <c r="L5">
        <v>1</v>
      </c>
      <c r="M5">
        <f>J5*L5</f>
        <v>9</v>
      </c>
    </row>
    <row r="6">
      <c r="A6" t="str">
        <v>玉米粒</v>
      </c>
      <c r="B6" t="str">
        <v>4袋/件,2.5kg/袋</v>
      </c>
      <c r="C6">
        <v>15.8</v>
      </c>
      <c r="D6" t="str">
        <v>袋</v>
      </c>
      <c r="E6">
        <v>6</v>
      </c>
      <c r="F6">
        <f>C6*E6</f>
        <v>94.8</v>
      </c>
      <c r="H6" t="str">
        <v>咖喱块</v>
      </c>
      <c r="I6" t="str">
        <v>20盒/件</v>
      </c>
      <c r="J6">
        <v>49.8</v>
      </c>
      <c r="K6" t="str">
        <v>盒</v>
      </c>
      <c r="L6">
        <v>0.5</v>
      </c>
      <c r="M6">
        <f>J6*L6</f>
        <v>24.9</v>
      </c>
    </row>
    <row r="7">
      <c r="A7" t="str">
        <v>烤翅中</v>
      </c>
      <c r="B7" t="str">
        <v>20对/袋</v>
      </c>
      <c r="C7">
        <v>97</v>
      </c>
      <c r="D7" t="str">
        <v>袋</v>
      </c>
      <c r="E7">
        <v>3</v>
      </c>
      <c r="F7">
        <f>C7*E7</f>
        <v>291</v>
      </c>
      <c r="H7" t="str">
        <v>伊利淡</v>
      </c>
      <c r="J7">
        <v>29.2</v>
      </c>
      <c r="K7" t="str">
        <v>盒</v>
      </c>
      <c r="M7">
        <f>J7*L7</f>
        <v>0</v>
      </c>
    </row>
    <row r="8">
      <c r="A8" t="str">
        <v>培根</v>
      </c>
      <c r="C8">
        <v>54.5</v>
      </c>
      <c r="D8" t="str">
        <v>袋</v>
      </c>
      <c r="E8">
        <v>3</v>
      </c>
      <c r="F8">
        <f>C8*E8</f>
        <v>163.5</v>
      </c>
      <c r="H8" t="str">
        <v>意粉</v>
      </c>
      <c r="I8" t="str">
        <v>3kg/包，5包/箱</v>
      </c>
      <c r="J8">
        <v>22</v>
      </c>
      <c r="K8" t="str">
        <v>包</v>
      </c>
      <c r="L8">
        <v>9</v>
      </c>
      <c r="M8">
        <f>J8*L8</f>
        <v>198</v>
      </c>
    </row>
    <row r="9">
      <c r="A9" t="str">
        <v>鱿鱼</v>
      </c>
      <c r="C9">
        <v>30</v>
      </c>
      <c r="D9" t="str">
        <v>斤</v>
      </c>
      <c r="E9">
        <v>2</v>
      </c>
      <c r="F9">
        <f>C9*E9</f>
        <v>60</v>
      </c>
      <c r="H9" t="str">
        <v>沙司</v>
      </c>
      <c r="J9">
        <v>33</v>
      </c>
      <c r="K9" t="str">
        <v>罐</v>
      </c>
      <c r="L9">
        <v>5</v>
      </c>
      <c r="M9">
        <f>J9*L9</f>
        <v>165</v>
      </c>
    </row>
    <row r="10">
      <c r="A10" t="str">
        <v>蟹柳</v>
      </c>
      <c r="B10" t="str">
        <v>2500g/袋</v>
      </c>
      <c r="C10">
        <v>42</v>
      </c>
      <c r="D10" t="str">
        <v>包</v>
      </c>
      <c r="E10">
        <v>0.8</v>
      </c>
      <c r="F10">
        <f>C10*E10</f>
        <v>33.6</v>
      </c>
      <c r="H10" t="str">
        <v>茄膏</v>
      </c>
      <c r="J10">
        <v>42.5</v>
      </c>
      <c r="K10" t="str">
        <v>罐</v>
      </c>
      <c r="L10">
        <v>1</v>
      </c>
      <c r="M10">
        <f>J10*L10</f>
        <v>42.5</v>
      </c>
    </row>
    <row r="11">
      <c r="A11" t="str">
        <v>肠仔</v>
      </c>
      <c r="C11">
        <v>36</v>
      </c>
      <c r="D11" t="str">
        <v>包</v>
      </c>
      <c r="E11">
        <v>3</v>
      </c>
      <c r="F11">
        <f>C11*E11</f>
        <v>108</v>
      </c>
      <c r="H11" t="str">
        <v>生粉</v>
      </c>
      <c r="J11">
        <v>4.4</v>
      </c>
      <c r="K11" t="str">
        <v>斤</v>
      </c>
      <c r="L11">
        <v>3</v>
      </c>
      <c r="M11">
        <f>J11*L11</f>
        <v>13.2</v>
      </c>
    </row>
    <row r="12">
      <c r="A12" t="str">
        <v>大成炸翅中</v>
      </c>
      <c r="B12" t="str">
        <v>4包/箱</v>
      </c>
      <c r="C12">
        <v>120</v>
      </c>
      <c r="D12" t="str">
        <v>包</v>
      </c>
      <c r="E12">
        <v>0.8</v>
      </c>
      <c r="F12">
        <f>C12*E12</f>
        <v>96</v>
      </c>
      <c r="H12" t="str">
        <v>大米</v>
      </c>
      <c r="J12">
        <v>106</v>
      </c>
      <c r="K12" t="str">
        <v>包</v>
      </c>
      <c r="L12">
        <v>4</v>
      </c>
      <c r="M12">
        <f>J12*L12</f>
        <v>424</v>
      </c>
    </row>
    <row r="13">
      <c r="A13" t="str">
        <v>大成炸翅根</v>
      </c>
      <c r="B13" t="str">
        <v>4包/箱</v>
      </c>
      <c r="C13">
        <v>78</v>
      </c>
      <c r="D13" t="str">
        <v>包</v>
      </c>
      <c r="E13">
        <v>0.8</v>
      </c>
      <c r="F13">
        <f>C13*E13</f>
        <v>62.4</v>
      </c>
      <c r="H13" t="str">
        <v>蘑菇</v>
      </c>
      <c r="J13">
        <v>46.9</v>
      </c>
      <c r="K13" t="str">
        <v>罐</v>
      </c>
      <c r="L13">
        <v>10</v>
      </c>
      <c r="M13">
        <f>J13*L13</f>
        <v>469</v>
      </c>
    </row>
    <row r="14">
      <c r="A14" t="str">
        <v>虾仁</v>
      </c>
      <c r="B14" t="str">
        <v>2500g/袋</v>
      </c>
      <c r="C14">
        <v>25</v>
      </c>
      <c r="D14" t="str">
        <v>斤</v>
      </c>
      <c r="E14">
        <v>0.2</v>
      </c>
      <c r="F14">
        <f>C14*E14</f>
        <v>5</v>
      </c>
      <c r="H14" t="str">
        <v>奥尔良腌料</v>
      </c>
      <c r="J14">
        <v>20.5</v>
      </c>
      <c r="K14" t="str">
        <v>包</v>
      </c>
      <c r="M14">
        <f>J14*L14</f>
        <v>0</v>
      </c>
    </row>
    <row r="15">
      <c r="A15" t="str">
        <v>猪骨</v>
      </c>
      <c r="C15">
        <v>3.4</v>
      </c>
      <c r="D15" t="str">
        <v>斤</v>
      </c>
      <c r="E15">
        <v>25</v>
      </c>
      <c r="F15">
        <f>C15*E15</f>
        <v>85</v>
      </c>
      <c r="H15" t="str">
        <v>面粉</v>
      </c>
      <c r="J15">
        <v>1.76</v>
      </c>
      <c r="K15" t="str">
        <v>斤</v>
      </c>
      <c r="L15">
        <v>5</v>
      </c>
      <c r="M15">
        <f>J15*L15</f>
        <v>8.8</v>
      </c>
    </row>
    <row r="16">
      <c r="A16" t="str">
        <v>牛柳</v>
      </c>
      <c r="B16" t="str">
        <v>2500g/袋</v>
      </c>
      <c r="C16">
        <v>30</v>
      </c>
      <c r="D16" t="str">
        <v>斤</v>
      </c>
      <c r="E16">
        <v>10</v>
      </c>
      <c r="F16">
        <f>C16*E16</f>
        <v>300</v>
      </c>
      <c r="H16" t="str">
        <v>白糖</v>
      </c>
      <c r="J16">
        <v>2.98</v>
      </c>
      <c r="K16" t="str">
        <v>斤</v>
      </c>
      <c r="L16">
        <v>5</v>
      </c>
      <c r="M16">
        <f>J16*L16</f>
        <v>14.9</v>
      </c>
    </row>
    <row r="17">
      <c r="A17" t="str">
        <v>猪扒</v>
      </c>
      <c r="B17" t="str">
        <v>2500g/袋</v>
      </c>
      <c r="C17">
        <v>14.5</v>
      </c>
      <c r="D17" t="str">
        <v>斤</v>
      </c>
      <c r="E17">
        <v>15</v>
      </c>
      <c r="F17">
        <f>C17*E17</f>
        <v>217.5</v>
      </c>
      <c r="H17" t="str">
        <v>生抽</v>
      </c>
      <c r="J17">
        <v>15</v>
      </c>
      <c r="K17" t="str">
        <v>罐</v>
      </c>
      <c r="M17">
        <f>J17*L17</f>
        <v>0</v>
      </c>
    </row>
    <row r="18">
      <c r="A18" t="str">
        <v>南瓜饼</v>
      </c>
      <c r="B18" t="str">
        <v>12粒/包，16包/箱</v>
      </c>
      <c r="C18">
        <v>4.37</v>
      </c>
      <c r="D18" t="str">
        <v>包</v>
      </c>
      <c r="E18">
        <v>4</v>
      </c>
      <c r="F18">
        <f>C18*E18</f>
        <v>17.48</v>
      </c>
      <c r="H18" t="str">
        <v>老抽</v>
      </c>
      <c r="J18">
        <v>18</v>
      </c>
      <c r="K18" t="str">
        <v>罐</v>
      </c>
      <c r="M18">
        <f>J18*L18</f>
        <v>0</v>
      </c>
    </row>
    <row r="19">
      <c r="A19" t="str">
        <v>香芋地瓜丸</v>
      </c>
      <c r="B19" t="str">
        <v>10包/箱</v>
      </c>
      <c r="C19">
        <v>4.5</v>
      </c>
      <c r="D19" t="str">
        <v>包</v>
      </c>
      <c r="E19">
        <v>3</v>
      </c>
      <c r="F19">
        <f>C19*E19</f>
        <v>13.5</v>
      </c>
      <c r="H19" t="str">
        <v>鸡粉</v>
      </c>
      <c r="J19">
        <v>43.3</v>
      </c>
      <c r="K19" t="str">
        <v>罐</v>
      </c>
      <c r="L19">
        <v>3</v>
      </c>
      <c r="M19">
        <f>J19*L19</f>
        <v>129.9</v>
      </c>
    </row>
    <row r="20">
      <c r="A20" t="str">
        <v>炸鸡扒</v>
      </c>
      <c r="B20" t="str">
        <v>1kg/包</v>
      </c>
      <c r="C20">
        <v>22</v>
      </c>
      <c r="D20" t="str">
        <v>包</v>
      </c>
      <c r="E20">
        <v>3</v>
      </c>
      <c r="F20">
        <f>C20*E20</f>
        <v>66</v>
      </c>
      <c r="H20" t="str">
        <v>盐</v>
      </c>
      <c r="I20" t="str">
        <v>2.5kg/包</v>
      </c>
      <c r="J20">
        <v>10</v>
      </c>
      <c r="K20" t="str">
        <v>包</v>
      </c>
      <c r="L20">
        <v>2</v>
      </c>
      <c r="M20">
        <f>J20*L20</f>
        <v>20</v>
      </c>
    </row>
    <row r="21">
      <c r="A21" t="str">
        <v>炸鸡腿</v>
      </c>
      <c r="B21" t="str">
        <v>2.5kg*4包</v>
      </c>
      <c r="C21">
        <v>75</v>
      </c>
      <c r="D21" t="str">
        <v>包</v>
      </c>
      <c r="E21">
        <v>1</v>
      </c>
      <c r="F21">
        <f>C21*E21</f>
        <v>75</v>
      </c>
      <c r="H21" t="str">
        <v>黑椒碎</v>
      </c>
      <c r="J21">
        <v>35</v>
      </c>
      <c r="M21">
        <f>J21*L21</f>
        <v>0</v>
      </c>
    </row>
    <row r="22">
      <c r="A22" t="str">
        <v>肉酱</v>
      </c>
      <c r="B22" t="str">
        <v>12kg/盒</v>
      </c>
      <c r="C22">
        <v>15</v>
      </c>
      <c r="D22" t="str">
        <v>千克</v>
      </c>
      <c r="E22">
        <v>12</v>
      </c>
      <c r="F22">
        <f>C22*E22</f>
        <v>180</v>
      </c>
      <c r="H22" t="str">
        <v>黑椒汁</v>
      </c>
      <c r="J22">
        <v>38.5</v>
      </c>
      <c r="K22" t="str">
        <v>罐</v>
      </c>
      <c r="M22">
        <f>J22*L22</f>
        <v>0</v>
      </c>
    </row>
    <row r="23">
      <c r="E23" t="str">
        <v>金额</v>
      </c>
      <c r="F23">
        <f>SUM(F3:F22)</f>
        <v>5707.28</v>
      </c>
      <c r="H23" t="str">
        <v>蚝油</v>
      </c>
      <c r="J23">
        <v>34</v>
      </c>
      <c r="K23" t="str">
        <v>罐</v>
      </c>
      <c r="M23">
        <f>J23*L23</f>
        <v>0</v>
      </c>
    </row>
    <row r="24">
      <c r="H24" t="str">
        <v>白醋</v>
      </c>
      <c r="J24">
        <v>1.673</v>
      </c>
      <c r="K24" t="str">
        <v>瓶</v>
      </c>
      <c r="L24">
        <v>16</v>
      </c>
      <c r="M24">
        <f>J24*L24</f>
        <v>26.768</v>
      </c>
    </row>
    <row r="25">
      <c r="H25" t="str">
        <v>咖喱粉</v>
      </c>
      <c r="J25">
        <v>7.5</v>
      </c>
      <c r="K25" t="str">
        <v>瓶</v>
      </c>
      <c r="L25">
        <v>1</v>
      </c>
      <c r="M25">
        <f>J25*L25</f>
        <v>7.5</v>
      </c>
    </row>
    <row r="26">
      <c r="H26" t="str">
        <v>起酥油</v>
      </c>
      <c r="I26" t="str">
        <v>16kg/箱</v>
      </c>
      <c r="J26">
        <v>185</v>
      </c>
      <c r="K26" t="str">
        <v>箱</v>
      </c>
      <c r="L26">
        <v>1</v>
      </c>
      <c r="M26">
        <f>J26*L26</f>
        <v>185</v>
      </c>
    </row>
    <row r="27">
      <c r="H27" t="str">
        <v>可乐</v>
      </c>
      <c r="J27">
        <v>29.2</v>
      </c>
      <c r="K27" t="str">
        <v>件</v>
      </c>
      <c r="L27">
        <v>13</v>
      </c>
      <c r="M27">
        <f>J27*L27</f>
        <v>379.6</v>
      </c>
    </row>
    <row r="28">
      <c r="H28" t="str">
        <v>康师傅</v>
      </c>
      <c r="J28">
        <v>22</v>
      </c>
      <c r="K28" t="str">
        <v>件</v>
      </c>
      <c r="L28">
        <v>22</v>
      </c>
      <c r="M28">
        <f>J28*L28</f>
        <v>484</v>
      </c>
    </row>
    <row r="29">
      <c r="L29" t="str">
        <v>金额</v>
      </c>
      <c r="M29">
        <f>SUM(M3:M28)</f>
        <v>2870.268</v>
      </c>
    </row>
    <row r="30">
      <c r="A30" t="str">
        <v>包材</v>
      </c>
    </row>
    <row r="31">
      <c r="A31" t="str">
        <v>品类</v>
      </c>
      <c r="B31" t="str">
        <v>规格</v>
      </c>
      <c r="C31" t="str">
        <v>单价</v>
      </c>
      <c r="E31" t="str">
        <v>数量</v>
      </c>
      <c r="F31" t="str">
        <v>金额</v>
      </c>
    </row>
    <row r="32">
      <c r="A32" t="str">
        <v>纸盒</v>
      </c>
      <c r="B32" t="str">
        <v>100个/叠</v>
      </c>
      <c r="C32">
        <v>0.47</v>
      </c>
      <c r="D32" t="str">
        <v>个</v>
      </c>
      <c r="E32">
        <v>400</v>
      </c>
      <c r="F32">
        <f>C32*E32</f>
        <v>188</v>
      </c>
    </row>
    <row r="33">
      <c r="A33" t="str">
        <v>叉勺</v>
      </c>
      <c r="B33" t="str">
        <v>4000个/箱，100个/包</v>
      </c>
      <c r="C33">
        <v>0.15</v>
      </c>
      <c r="D33" t="str">
        <v>个</v>
      </c>
      <c r="E33">
        <v>4900</v>
      </c>
      <c r="F33">
        <f>C33*E33</f>
        <v>735</v>
      </c>
    </row>
    <row r="34">
      <c r="A34" t="str">
        <v>湿纸巾</v>
      </c>
      <c r="C34">
        <v>0.09</v>
      </c>
      <c r="D34" t="str">
        <v>包</v>
      </c>
      <c r="F34">
        <f>C34*E34</f>
        <v>0</v>
      </c>
    </row>
    <row r="35">
      <c r="A35" t="str">
        <v>大叉</v>
      </c>
      <c r="B35" t="str">
        <v>100个/包</v>
      </c>
      <c r="C35">
        <v>0.185</v>
      </c>
      <c r="D35" t="str">
        <v>个</v>
      </c>
      <c r="E35">
        <v>1</v>
      </c>
      <c r="F35">
        <f>C35*E35</f>
        <v>0.185</v>
      </c>
    </row>
    <row r="36">
      <c r="A36" t="str">
        <v>打包袋</v>
      </c>
      <c r="B36" t="str">
        <v>7500个/包</v>
      </c>
      <c r="C36">
        <v>0.09</v>
      </c>
      <c r="D36" t="str">
        <v>个</v>
      </c>
      <c r="E36">
        <v>500</v>
      </c>
      <c r="F36">
        <f>C36*E36</f>
        <v>45</v>
      </c>
      <c r="I36" t="str">
        <v>总金额</v>
      </c>
      <c r="J36">
        <f>F23+F49+M29</f>
        <v>10980.873</v>
      </c>
    </row>
    <row r="37">
      <c r="A37" t="str">
        <v>收银纸</v>
      </c>
      <c r="C37">
        <v>2.89</v>
      </c>
      <c r="D37" t="str">
        <v>卷</v>
      </c>
      <c r="E37">
        <v>85</v>
      </c>
      <c r="F37">
        <f>C37*E37</f>
        <v>245.65</v>
      </c>
    </row>
    <row r="38">
      <c r="A38" t="str">
        <v>打包汤碗</v>
      </c>
      <c r="B38" t="str">
        <v>24个/条240个/箱</v>
      </c>
      <c r="C38">
        <v>0.38</v>
      </c>
      <c r="D38" t="str">
        <v>个</v>
      </c>
      <c r="E38">
        <v>480</v>
      </c>
      <c r="F38">
        <f>C38*E38</f>
        <v>182.4</v>
      </c>
    </row>
    <row r="39">
      <c r="A39" t="str">
        <v>牙签纸巾</v>
      </c>
      <c r="B39" t="str">
        <v>200包/袋，25袋/箱</v>
      </c>
      <c r="C39">
        <v>7.5</v>
      </c>
      <c r="D39" t="str">
        <v>包</v>
      </c>
      <c r="E39">
        <v>26</v>
      </c>
      <c r="F39">
        <f>C39*E39</f>
        <v>195</v>
      </c>
    </row>
    <row r="40">
      <c r="A40" t="str">
        <v>封口贴</v>
      </c>
      <c r="C40">
        <v>13</v>
      </c>
      <c r="D40" t="str">
        <v>卷</v>
      </c>
      <c r="E40">
        <v>4</v>
      </c>
      <c r="F40">
        <f>C40*E40</f>
        <v>52</v>
      </c>
    </row>
    <row r="41">
      <c r="A41" t="str">
        <v>360ml透明碗</v>
      </c>
      <c r="B41" t="str">
        <v>50个/条 12条/箱</v>
      </c>
      <c r="C41">
        <v>100</v>
      </c>
      <c r="D41" t="str">
        <v>件</v>
      </c>
      <c r="E41">
        <v>0.8</v>
      </c>
      <c r="F41">
        <f>C41*E41</f>
        <v>80</v>
      </c>
    </row>
    <row r="42">
      <c r="A42" t="str">
        <v>锡纸盒</v>
      </c>
      <c r="B42" t="str">
        <v>1000个/箱</v>
      </c>
      <c r="C42">
        <v>305.5</v>
      </c>
      <c r="D42" t="str">
        <v>件</v>
      </c>
      <c r="E42">
        <v>1.3</v>
      </c>
      <c r="F42">
        <f>C42*E42</f>
        <v>397.15</v>
      </c>
    </row>
    <row r="43">
      <c r="A43" t="str">
        <v>500ml透明盒</v>
      </c>
      <c r="C43">
        <v>70</v>
      </c>
      <c r="D43" t="str">
        <v>件</v>
      </c>
      <c r="E43">
        <v>0.8</v>
      </c>
      <c r="F43">
        <f>C43*E43</f>
        <v>56</v>
      </c>
    </row>
    <row r="44">
      <c r="A44" t="str">
        <v>抽纸</v>
      </c>
      <c r="C44">
        <v>65.74</v>
      </c>
      <c r="D44" t="str">
        <v>件</v>
      </c>
      <c r="E44">
        <v>1</v>
      </c>
      <c r="F44">
        <f>C44*E44</f>
        <v>65.74</v>
      </c>
    </row>
    <row r="45">
      <c r="A45" t="str">
        <v>一次性杯</v>
      </c>
      <c r="C45">
        <v>1</v>
      </c>
      <c r="D45" t="str">
        <v>个</v>
      </c>
      <c r="F45">
        <f>C45*E45</f>
        <v>0</v>
      </c>
    </row>
    <row r="46">
      <c r="A46" t="str">
        <v>一次性汤勺</v>
      </c>
      <c r="B46" t="str">
        <v>50个/包，1000个/箱</v>
      </c>
      <c r="C46">
        <v>0.099</v>
      </c>
      <c r="D46" t="str">
        <v>个</v>
      </c>
      <c r="E46">
        <v>800</v>
      </c>
      <c r="F46">
        <f>C46*E46</f>
        <v>79.2</v>
      </c>
    </row>
    <row r="47">
      <c r="A47" t="str">
        <v>小吃盒</v>
      </c>
      <c r="B47" t="str">
        <v>200个/箱</v>
      </c>
      <c r="C47">
        <v>0.215</v>
      </c>
      <c r="D47" t="str">
        <v>个</v>
      </c>
      <c r="E47">
        <v>200</v>
      </c>
      <c r="F47">
        <f>C47*E47</f>
        <v>43</v>
      </c>
    </row>
    <row r="48">
      <c r="A48" t="str">
        <v>花生</v>
      </c>
      <c r="C48">
        <v>6.5</v>
      </c>
      <c r="D48" t="str">
        <v>斤</v>
      </c>
      <c r="E48">
        <v>6</v>
      </c>
      <c r="F48">
        <f>C48*E48</f>
        <v>39</v>
      </c>
    </row>
    <row r="49">
      <c r="E49" t="str">
        <v>金额</v>
      </c>
      <c r="F49">
        <f>SUM(F32:F48)</f>
        <v>2403.325</v>
      </c>
    </row>
  </sheetData>
  <mergeCells count="3">
    <mergeCell ref="A1:F1"/>
    <mergeCell ref="H1:M1"/>
    <mergeCell ref="A30:F30"/>
  </mergeCells>
  <pageMargins left="0.75" right="0.75" top="1" bottom="1" header="0.5" footer="0.5"/>
  <ignoredErrors>
    <ignoredError numberStoredAsText="1" sqref="A1:XFD7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57"/>
  <sheetViews>
    <sheetView workbookViewId="0" rightToLeft="0"/>
  </sheetViews>
  <sheetData>
    <row r="1">
      <c r="A1" t="str">
        <v>育德10月营收报表</v>
      </c>
    </row>
    <row r="2">
      <c r="A2" t="str">
        <v>当月营收</v>
      </c>
      <c r="B2">
        <v>107632.26</v>
      </c>
      <c r="C2">
        <v>1</v>
      </c>
    </row>
    <row r="3">
      <c r="A3" t="str">
        <v>仓库进货</v>
      </c>
    </row>
    <row r="4">
      <c r="A4" t="str">
        <v>酱料</v>
      </c>
      <c r="B4">
        <f>酱汁!B37</f>
        <v>6813.37</v>
      </c>
    </row>
    <row r="5">
      <c r="A5" t="str">
        <v>冻货</v>
      </c>
      <c r="B5">
        <f>冻货!B37</f>
        <v>16255.27</v>
      </c>
    </row>
    <row r="6">
      <c r="A6" t="str">
        <v>包材</v>
      </c>
      <c r="B6">
        <f>包材!B37</f>
        <v>4583.5</v>
      </c>
    </row>
    <row r="7">
      <c r="A7" t="str">
        <v>干货</v>
      </c>
      <c r="B7">
        <f>干货!B37</f>
        <v>786.7</v>
      </c>
    </row>
    <row r="8">
      <c r="A8" t="str">
        <v>仓库进货小计</v>
      </c>
      <c r="B8">
        <f>SUM(B4:B7)</f>
        <v>28438.84</v>
      </c>
      <c r="C8">
        <f>B8/B2</f>
        <v>0.264222269419968</v>
      </c>
    </row>
    <row r="9">
      <c r="A9" t="str">
        <v>广耀商行进货（干冻货商</v>
      </c>
      <c r="B9">
        <f>广耀进货!B38</f>
        <v>18796.33</v>
      </c>
    </row>
    <row r="10">
      <c r="A10" t="str">
        <v>网购物品</v>
      </c>
      <c r="B10">
        <f>网购物品!B33</f>
        <v>1017.64</v>
      </c>
    </row>
    <row r="11">
      <c r="A11" t="str">
        <v>美团快驴蔬菜伙食</v>
      </c>
      <c r="B11">
        <v>2489.76</v>
      </c>
    </row>
    <row r="12">
      <c r="A12" t="str">
        <v>丰华粮油（米油货商</v>
      </c>
      <c r="B12">
        <f>丰华粮油!B35</f>
        <v>3184.48</v>
      </c>
    </row>
    <row r="13">
      <c r="A13" t="str">
        <v>饮料</v>
      </c>
      <c r="B13">
        <f>饮料!B36</f>
        <v>774</v>
      </c>
    </row>
    <row r="14">
      <c r="A14" t="str">
        <v>行政费用</v>
      </c>
      <c r="B14">
        <f>行政费用!B33</f>
        <v>2387.3</v>
      </c>
    </row>
    <row r="15">
      <c r="A15" t="str">
        <v>蔬菜</v>
      </c>
      <c r="B15">
        <f>蔬菜!B37</f>
        <v>2617.2</v>
      </c>
    </row>
    <row r="16">
      <c r="A16" t="str">
        <v>推广费用</v>
      </c>
      <c r="B16">
        <v>1577.63</v>
      </c>
      <c r="C16">
        <f>B16/B2</f>
        <v>0.0146575942937554</v>
      </c>
    </row>
    <row r="17">
      <c r="A17" t="str">
        <v>小计</v>
      </c>
      <c r="B17">
        <f>SUM(B9:B16)</f>
        <v>32844.34</v>
      </c>
      <c r="C17">
        <f>B17/B2</f>
        <v>0.305153306267099</v>
      </c>
    </row>
    <row r="18">
      <c r="A18" t="str">
        <v>上月库存</v>
      </c>
      <c r="B18">
        <v>13289.491</v>
      </c>
    </row>
    <row r="19">
      <c r="A19" t="str">
        <v>当月库存</v>
      </c>
      <c r="B19">
        <f>盘点表!J36</f>
        <v>10980.873</v>
      </c>
      <c r="C19" t="str">
        <v>物料成本占比</v>
      </c>
      <c r="D19" t="str">
        <v>毛利占比</v>
      </c>
    </row>
    <row r="20">
      <c r="A20" t="str">
        <v>总物料使用金额</v>
      </c>
      <c r="B20">
        <f>B8+B17+B18-B19</f>
        <v>63591.798</v>
      </c>
      <c r="C20">
        <f>B20/B2</f>
        <v>0.59082470255665</v>
      </c>
      <c r="D20">
        <f>C2-C20</f>
        <v>0.40917529744335</v>
      </c>
    </row>
    <row r="21">
      <c r="A21" t="str">
        <v>仓库水电分摊</v>
      </c>
      <c r="B21">
        <v>904</v>
      </c>
    </row>
    <row r="22">
      <c r="A22" t="str">
        <v>仓库租金分摊</v>
      </c>
      <c r="B22">
        <v>666</v>
      </c>
    </row>
    <row r="23">
      <c r="A23" t="str">
        <v>仓库分摊人事</v>
      </c>
      <c r="B23">
        <v>3762</v>
      </c>
    </row>
    <row r="24">
      <c r="A24" t="str">
        <v>仓库分摊费用小计</v>
      </c>
      <c r="B24">
        <f>SUM(B21:B23)</f>
        <v>5332</v>
      </c>
      <c r="C24">
        <f>B24/B2</f>
        <v>0.0495390508384754</v>
      </c>
    </row>
    <row r="25">
      <c r="A25" t="str">
        <v>门市水电</v>
      </c>
      <c r="B25">
        <v>4122.9</v>
      </c>
      <c r="C25">
        <f>B25/B2</f>
        <v>0.0383054299891129</v>
      </c>
    </row>
    <row r="26">
      <c r="A26" t="str">
        <v>门市租金</v>
      </c>
      <c r="B26">
        <v>3000</v>
      </c>
      <c r="C26">
        <f>B26/B2</f>
        <v>0.0278726842677093</v>
      </c>
    </row>
    <row r="27">
      <c r="A27" t="str">
        <v>人事费用</v>
      </c>
      <c r="B27">
        <f>薪资表!N9</f>
        <v>22568.6</v>
      </c>
      <c r="C27">
        <f>B27/B2</f>
        <v>0.209682487388075</v>
      </c>
    </row>
    <row r="28">
      <c r="A28" t="str">
        <v>宿舍租金</v>
      </c>
      <c r="B28">
        <v>468</v>
      </c>
    </row>
    <row r="29">
      <c r="A29" t="str">
        <v>小计</v>
      </c>
      <c r="B29">
        <f>SUM(B25:B28)</f>
        <v>30159.5</v>
      </c>
    </row>
    <row r="30">
      <c r="A30" t="str">
        <v>合共总成本</v>
      </c>
      <c r="B30">
        <f>B20+B24+B29</f>
        <v>99083.298</v>
      </c>
    </row>
    <row r="31">
      <c r="A31" t="str">
        <v>门市利润</v>
      </c>
      <c r="B31">
        <f>B2-B30</f>
        <v>8548.96199999998</v>
      </c>
      <c r="C31">
        <f>B31/B2</f>
        <v>0.0794275062142148</v>
      </c>
    </row>
    <row r="33">
      <c r="A33" t="str">
        <v>设备维修费用</v>
      </c>
      <c r="B33">
        <f>设备维修费用!B33</f>
        <v>3524</v>
      </c>
      <c r="C33" t="str">
        <v>抽屉保温柜，炒饭机滚桶，收银系统年费</v>
      </c>
    </row>
    <row r="34">
      <c r="A34" t="str">
        <v>贷款分期</v>
      </c>
      <c r="B34">
        <v>3473.28</v>
      </c>
    </row>
    <row r="35">
      <c r="A35" t="str">
        <v>纯利润</v>
      </c>
      <c r="B35">
        <f>B31-B34-B33</f>
        <v>1551.68199999998</v>
      </c>
      <c r="C35">
        <f>B35/B2</f>
        <v>0.0144165141566291</v>
      </c>
    </row>
    <row r="39">
      <c r="A39" t="str">
        <v>10月仓库</v>
      </c>
      <c r="C39" t="str">
        <v>新会店</v>
      </c>
    </row>
    <row r="40">
      <c r="A40" t="str">
        <v>仓库卷闸维修</v>
      </c>
      <c r="B40">
        <v>350</v>
      </c>
      <c r="C40" t="str">
        <v>变频器</v>
      </c>
      <c r="D40">
        <v>470</v>
      </c>
    </row>
    <row r="41">
      <c r="A41" t="str">
        <v>汽车分期</v>
      </c>
      <c r="B41">
        <v>1255.67</v>
      </c>
      <c r="C41" t="str">
        <v>配风机电箱</v>
      </c>
      <c r="D41">
        <v>300</v>
      </c>
    </row>
    <row r="42">
      <c r="A42" t="str">
        <v>社保</v>
      </c>
      <c r="B42">
        <v>1375.7</v>
      </c>
      <c r="C42" t="str">
        <v>油烟净化器</v>
      </c>
      <c r="D42">
        <v>2000</v>
      </c>
    </row>
    <row r="43">
      <c r="A43" t="str">
        <v>真空袋</v>
      </c>
      <c r="B43">
        <v>56</v>
      </c>
      <c r="C43" t="str">
        <v>万能蒸烤箱烤盘/不锈钢底座/不锈钢篮6个/不锈钢蒸盘</v>
      </c>
      <c r="D43">
        <v>2000</v>
      </c>
    </row>
    <row r="44">
      <c r="A44" t="str">
        <v>公积金光辉</v>
      </c>
      <c r="B44">
        <v>720</v>
      </c>
      <c r="C44" t="str">
        <v>货拉拉</v>
      </c>
      <c r="D44">
        <v>140</v>
      </c>
    </row>
    <row r="45">
      <c r="A45" t="str">
        <v>公积金颍蘅</v>
      </c>
      <c r="B45">
        <v>412</v>
      </c>
      <c r="C45" t="str">
        <v>万能蒸烤箱定金</v>
      </c>
      <c r="D45">
        <v>5000</v>
      </c>
    </row>
    <row r="46">
      <c r="A46" t="str">
        <v>安佳纯牛奶</v>
      </c>
      <c r="B46">
        <v>315</v>
      </c>
      <c r="C46" t="str">
        <v>不锈钢筛盘3个</v>
      </c>
      <c r="D46">
        <v>118</v>
      </c>
    </row>
    <row r="47">
      <c r="C47" t="str">
        <v>乐信不沾盘3个</v>
      </c>
      <c r="D47">
        <v>357</v>
      </c>
    </row>
    <row r="48">
      <c r="C48" t="str">
        <v>闪送</v>
      </c>
      <c r="D48">
        <v>31</v>
      </c>
    </row>
    <row r="49">
      <c r="A49" t="str">
        <v>总额</v>
      </c>
      <c r="B49">
        <f>SUM(B40:B48)</f>
        <v>4484.37</v>
      </c>
      <c r="C49" t="str">
        <v>隔热手套</v>
      </c>
      <c r="D49">
        <v>30.85</v>
      </c>
    </row>
    <row r="50">
      <c r="C50" t="str">
        <v>不锈钢软管/三通阀/防水胶带</v>
      </c>
      <c r="D50">
        <v>48</v>
      </c>
    </row>
    <row r="51">
      <c r="C51" t="str">
        <v>乐信不沾盘3个</v>
      </c>
      <c r="D51">
        <v>357</v>
      </c>
    </row>
    <row r="52">
      <c r="C52" t="str">
        <v>保温柜</v>
      </c>
      <c r="D52">
        <v>2800</v>
      </c>
    </row>
    <row r="54">
      <c r="C54" t="str">
        <v>总额</v>
      </c>
      <c r="D54">
        <f>SUM(D40:D53)</f>
        <v>13651.85</v>
      </c>
    </row>
  </sheetData>
  <mergeCells count="2">
    <mergeCell ref="A1:D1"/>
    <mergeCell ref="A3:B3"/>
  </mergeCells>
  <pageMargins left="0.75" right="0.75" top="1" bottom="1" header="0.5" footer="0.5"/>
  <ignoredErrors>
    <ignoredError numberStoredAsText="1" sqref="A1:F5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19"/>
  <sheetViews>
    <sheetView workbookViewId="0" rightToLeft="0"/>
  </sheetViews>
  <cols>
    <col min="1" max="1" width="15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0.83203125" customWidth="1"/>
  </cols>
  <sheetData>
    <row r="1">
      <c r="A1" t="str">
        <v>育德店10月成本报表（优化版）</v>
      </c>
    </row>
    <row r="2">
      <c r="A2" t="str">
        <v/>
      </c>
    </row>
    <row r="3">
      <c r="A3" t="str">
        <v>项目</v>
      </c>
      <c r="B3" t="str">
        <v>金额</v>
      </c>
      <c r="C3" t="str">
        <v>占比</v>
      </c>
      <c r="D3" t="str">
        <v>目标占比</v>
      </c>
      <c r="E3" t="str">
        <v>差距</v>
      </c>
      <c r="F3" t="str">
        <v>状态</v>
      </c>
      <c r="G3" t="str">
        <v>备注</v>
      </c>
    </row>
    <row r="4">
      <c r="A4" t="str">
        <v>营收</v>
      </c>
      <c r="B4">
        <v>107632.26</v>
      </c>
      <c r="C4" t="str">
        <v>=B4/107632.26</v>
      </c>
      <c r="D4" t="str">
        <v>100%</v>
      </c>
      <c r="E4" t="str">
        <v>=B4-B4</v>
      </c>
      <c r="F4" t="str">
        <v>=IF(C4&gt;=1,"✅达标","❌未达")</v>
      </c>
      <c r="G4" t="str">
        <v/>
      </c>
    </row>
    <row r="5">
      <c r="A5" t="str">
        <v/>
      </c>
    </row>
    <row r="6">
      <c r="A6" t="str">
        <v>---成本项---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物料成本</v>
      </c>
      <c r="B7">
        <v>63591.8</v>
      </c>
      <c r="C7" t="str">
        <v>=B7/107632.26</v>
      </c>
      <c r="D7" t="str">
        <v>50%</v>
      </c>
      <c r="E7" t="str">
        <v>=C7-0.5</v>
      </c>
      <c r="F7" t="str">
        <v>=IF(C7&lt;0.55,"✅正常","⚠️超标")</v>
      </c>
      <c r="G7" t="str">
        <v>应&lt;55%</v>
      </c>
    </row>
    <row r="8">
      <c r="A8" t="str">
        <v>人事费用</v>
      </c>
      <c r="B8">
        <v>22568.6</v>
      </c>
      <c r="C8" t="str">
        <v>=B8/107632.26</v>
      </c>
      <c r="D8" t="str">
        <v>22%</v>
      </c>
      <c r="E8" t="str">
        <v>=C8-0.22</v>
      </c>
      <c r="F8" t="str">
        <v>=IF(C8&lt;0.28,"✅正常","⚠️超标")</v>
      </c>
      <c r="G8" t="str">
        <v>应&lt;28%</v>
      </c>
    </row>
    <row r="9">
      <c r="A9" t="str">
        <v>推广费用</v>
      </c>
      <c r="B9">
        <v>1577.63</v>
      </c>
      <c r="C9" t="str">
        <v>=B9/107632.26</v>
      </c>
      <c r="D9" t="str">
        <v>3%</v>
      </c>
      <c r="E9" t="str">
        <v>=C9-0.03</v>
      </c>
      <c r="F9" t="str">
        <v>=IF(C9&gt;=0.03,"✅正常","⚠️低")</v>
      </c>
      <c r="G9" t="str">
        <v>应≥3%</v>
      </c>
    </row>
    <row r="10">
      <c r="A10" t="str">
        <v>维修费用</v>
      </c>
      <c r="B10">
        <v>3524</v>
      </c>
      <c r="C10" t="str">
        <v>=B10/107632.26</v>
      </c>
      <c r="D10" t="str">
        <v>2%</v>
      </c>
      <c r="E10" t="str">
        <v>=C10-0.02</v>
      </c>
      <c r="F10" t="str">
        <v>=IF(C10&lt;0.03,"✅正常","⚠️高")</v>
      </c>
      <c r="G10" t="str">
        <v>应&lt;3%</v>
      </c>
    </row>
    <row r="11">
      <c r="A11" t="str">
        <v>贷款分期</v>
      </c>
      <c r="B11">
        <v>3473.28</v>
      </c>
      <c r="C11" t="str">
        <v>=B11/107632.26</v>
      </c>
      <c r="D11" t="str">
        <v>3%</v>
      </c>
      <c r="E11" t="str">
        <v>=C11-0.03</v>
      </c>
      <c r="F11" t="str">
        <v>=IF(C11&lt;0.05,"✅正常","⚠️高")</v>
      </c>
      <c r="G11" t="str">
        <v/>
      </c>
    </row>
    <row r="12">
      <c r="A12" t="str">
        <v/>
      </c>
    </row>
    <row r="13">
      <c r="A13" t="str">
        <v>---汇总---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总成本</v>
      </c>
      <c r="B14" t="str">
        <v>=SUM(B7:B11)</v>
      </c>
      <c r="C14" t="str">
        <v>=B13/107632.26</v>
      </c>
      <c r="D14" t="str">
        <v>80%</v>
      </c>
      <c r="E14" t="str">
        <v>=C13-0.8</v>
      </c>
      <c r="F14" t="str">
        <v>=IF(C13&lt;0.85,"✅正常","⚠️高")</v>
      </c>
      <c r="G14" t="str">
        <v/>
      </c>
    </row>
    <row r="15">
      <c r="A15" t="str">
        <v>纯利润</v>
      </c>
      <c r="B15" t="str">
        <v>=B4-B13</v>
      </c>
      <c r="C15" t="str">
        <v>=B14/107632.26</v>
      </c>
      <c r="D15" t="str">
        <v>10%</v>
      </c>
      <c r="E15" t="str">
        <v>=C14-0.1</v>
      </c>
      <c r="F15" t="str">
        <v>=IF(C14&gt;0.1,"✅达标","❌低")</v>
      </c>
      <c r="G15" t="str">
        <v>应≥10%</v>
      </c>
    </row>
    <row r="16">
      <c r="A16" t="str">
        <v/>
      </c>
    </row>
    <row r="17">
      <c r="A17" t="str">
        <v>---KPI预警---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毛利率</v>
      </c>
      <c r="B18" t="str">
        <v>=1-C7</v>
      </c>
      <c r="C18" t="str">
        <v/>
      </c>
      <c r="D18" t="str">
        <v>50%</v>
      </c>
      <c r="E18" t="str">
        <v/>
      </c>
      <c r="F18" t="str">
        <v>=IF(F7&gt;0.5,"✅","❌")</v>
      </c>
      <c r="G18" t="str">
        <v>应&gt;50%</v>
      </c>
    </row>
    <row r="19">
      <c r="A19" t="str">
        <v>人效</v>
      </c>
      <c r="B19" t="str">
        <v>=107632.26/22568.60</v>
      </c>
      <c r="C19" t="str">
        <v/>
      </c>
      <c r="D19" t="str">
        <v>5</v>
      </c>
      <c r="E19" t="str">
        <v/>
      </c>
      <c r="F19" t="str">
        <v>=IF(F16&gt;5,"✅","❌")</v>
      </c>
      <c r="G19" t="str">
        <v>应&gt;5</v>
      </c>
    </row>
  </sheetData>
  <ignoredErrors>
    <ignoredError numberStoredAsText="1" sqref="A1:G1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16"/>
  <sheetViews>
    <sheetView workbookViewId="0" rightToLeft="0"/>
  </sheetViews>
  <cols>
    <col min="1" max="1" width="12.83203125" customWidth="1"/>
    <col min="2" max="2" width="10.83203125" customWidth="1"/>
    <col min="3" max="3" width="10.83203125" customWidth="1"/>
    <col min="4" max="4" width="10.83203125" customWidth="1"/>
  </cols>
  <sheetData>
    <row r="1">
      <c r="A1" t="str">
        <v>成本结构分析</v>
      </c>
    </row>
    <row r="2">
      <c r="A2" t="str">
        <v/>
      </c>
    </row>
    <row r="3">
      <c r="A3" t="str">
        <v>成本项</v>
      </c>
      <c r="B3" t="str">
        <v>金额</v>
      </c>
      <c r="C3" t="str">
        <v>占比</v>
      </c>
    </row>
    <row r="4">
      <c r="A4" t="str">
        <v>物料</v>
      </c>
      <c r="B4">
        <v>63591.8</v>
      </c>
      <c r="C4">
        <v>0.591</v>
      </c>
    </row>
    <row r="5">
      <c r="A5" t="str">
        <v>人事</v>
      </c>
      <c r="B5">
        <v>22568.6</v>
      </c>
      <c r="C5">
        <v>0.21</v>
      </c>
    </row>
    <row r="6">
      <c r="A6" t="str">
        <v>推广</v>
      </c>
      <c r="B6">
        <v>1577.63</v>
      </c>
      <c r="C6">
        <v>0.015</v>
      </c>
    </row>
    <row r="7">
      <c r="A7" t="str">
        <v>维修</v>
      </c>
      <c r="B7">
        <v>3524</v>
      </c>
      <c r="C7">
        <v>0.033</v>
      </c>
    </row>
    <row r="8">
      <c r="A8" t="str">
        <v>贷款</v>
      </c>
      <c r="B8">
        <v>3473.28</v>
      </c>
      <c r="C8">
        <v>0.032</v>
      </c>
    </row>
    <row r="9">
      <c r="A9" t="str">
        <v/>
      </c>
    </row>
    <row r="10">
      <c r="A10" t="str">
        <v>月度趋势</v>
      </c>
    </row>
    <row r="11">
      <c r="A11" t="str">
        <v/>
      </c>
    </row>
    <row r="12">
      <c r="A12" t="str">
        <v>月份</v>
      </c>
      <c r="B12" t="str">
        <v>营收</v>
      </c>
      <c r="C12" t="str">
        <v>成本</v>
      </c>
      <c r="D12" t="str">
        <v>利润</v>
      </c>
    </row>
    <row r="13">
      <c r="A13" t="str">
        <v>7月</v>
      </c>
      <c r="B13">
        <v>95000</v>
      </c>
      <c r="C13">
        <v>85000</v>
      </c>
      <c r="D13">
        <v>10000</v>
      </c>
    </row>
    <row r="14">
      <c r="A14" t="str">
        <v>8月</v>
      </c>
      <c r="B14">
        <v>100000</v>
      </c>
      <c r="C14">
        <v>88000</v>
      </c>
      <c r="D14">
        <v>12000</v>
      </c>
    </row>
    <row r="15">
      <c r="A15" t="str">
        <v>9月</v>
      </c>
      <c r="B15">
        <v>105000</v>
      </c>
      <c r="C15">
        <v>92000</v>
      </c>
      <c r="D15">
        <v>13000</v>
      </c>
    </row>
    <row r="16">
      <c r="A16" t="str">
        <v>10月</v>
      </c>
      <c r="B16">
        <v>107632</v>
      </c>
      <c r="C16">
        <v>99083</v>
      </c>
      <c r="D16">
        <v>1552</v>
      </c>
    </row>
  </sheetData>
  <ignoredErrors>
    <ignoredError numberStoredAsText="1" sqref="A1:D1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E12"/>
  <sheetViews>
    <sheetView workbookViewId="0" rightToLeft="0"/>
  </sheetViews>
  <cols>
    <col min="1" max="1" width="15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育德店经营仪表盘</v>
      </c>
    </row>
    <row r="2">
      <c r="A2" t="str">
        <v/>
      </c>
    </row>
    <row r="3">
      <c r="A3" t="str">
        <v>指标</v>
      </c>
      <c r="B3" t="str">
        <v>实际值</v>
      </c>
      <c r="C3" t="str">
        <v>目标</v>
      </c>
      <c r="D3" t="str">
        <v>完成率</v>
      </c>
      <c r="E3" t="str">
        <v>状态</v>
      </c>
    </row>
    <row r="4">
      <c r="A4" t="str">
        <v>营收</v>
      </c>
      <c r="B4">
        <v>107632</v>
      </c>
      <c r="C4">
        <v>110000</v>
      </c>
      <c r="D4" t="str">
        <v>=B4/C4</v>
      </c>
      <c r="E4" t="str">
        <v>=IF(D4&gt;=1,"✅","❌")</v>
      </c>
    </row>
    <row r="5">
      <c r="A5" t="str">
        <v>毛利率(计算)</v>
      </c>
      <c r="B5">
        <v>0.409</v>
      </c>
      <c r="C5">
        <v>0.5</v>
      </c>
      <c r="D5" t="str">
        <v>=B5/C5</v>
      </c>
      <c r="E5" t="str">
        <v>=IF(D5&gt;=1,"✅","❌")</v>
      </c>
    </row>
    <row r="6">
      <c r="A6" t="str">
        <v>人效</v>
      </c>
      <c r="B6">
        <v>4.77</v>
      </c>
      <c r="C6">
        <v>5</v>
      </c>
      <c r="D6" t="str">
        <v>=B6/C6</v>
      </c>
      <c r="E6" t="str">
        <v>=IF(D6&gt;=1,"✅","❌")</v>
      </c>
    </row>
    <row r="7">
      <c r="A7" t="str">
        <v/>
      </c>
    </row>
    <row r="8">
      <c r="A8" t="str">
        <v>关键数据</v>
      </c>
      <c r="B8" t="str">
        <v>数值</v>
      </c>
      <c r="C8" t="str">
        <v>说明</v>
      </c>
    </row>
    <row r="9">
      <c r="A9" t="str">
        <v>客单价</v>
      </c>
      <c r="B9">
        <v>28.4</v>
      </c>
      <c r="C9" t="str">
        <v>日均78单</v>
      </c>
    </row>
    <row r="10">
      <c r="A10" t="str">
        <v>日均营收</v>
      </c>
      <c r="B10">
        <v>3472</v>
      </c>
      <c r="C10" t="str">
        <v/>
      </c>
    </row>
    <row r="11">
      <c r="A11" t="str">
        <v>物料占比</v>
      </c>
      <c r="B11" t="str">
        <v>59.1%</v>
      </c>
      <c r="C11" t="str">
        <v>应&lt;55%</v>
      </c>
    </row>
    <row r="12">
      <c r="A12" t="str">
        <v>纯利占比</v>
      </c>
      <c r="B12" t="str">
        <v>1.4%</v>
      </c>
      <c r="C12" t="str">
        <v>应&gt;10%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酱汁</vt:lpstr>
      <vt:lpstr>冻货</vt:lpstr>
      <vt:lpstr>干货</vt:lpstr>
      <vt:lpstr>蔬菜</vt:lpstr>
      <vt:lpstr>包材</vt:lpstr>
      <vt:lpstr>广耀进货</vt:lpstr>
      <vt:lpstr>网购物品</vt:lpstr>
      <vt:lpstr>美团快驴伙食</vt:lpstr>
      <vt:lpstr>饮料</vt:lpstr>
      <vt:lpstr>丰华粮油</vt:lpstr>
      <vt:lpstr>行政费用</vt:lpstr>
      <vt:lpstr>设备维修费用</vt:lpstr>
      <vt:lpstr>薪资表</vt:lpstr>
      <vt:lpstr>盘点表</vt:lpstr>
      <vt:lpstr>汇总</vt:lpstr>
      <vt:lpstr>汇总_优化</vt:lpstr>
      <vt:lpstr>图表数据</vt:lpstr>
      <vt:lpstr>仪表盘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2026-02-23T23:56:09Z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A9EB91F1DFDC23D899789C691D719096_41</vt:lpwstr>
  </property>
  <property fmtid="{D5CDD505-2E9C-101B-9397-08002B2CF9AE}" pid="3" name="KSOProductBuildVer">
    <vt:lpwstr>2052-12.9.0.25295</vt:lpwstr>
  </property>
  <property fmtid="{D5CDD505-2E9C-101B-9397-08002B2CF9AE}" pid="4" name="CalculationRule">
    <vt:i4>1</vt:i4>
  </property>
</Properties>
</file>